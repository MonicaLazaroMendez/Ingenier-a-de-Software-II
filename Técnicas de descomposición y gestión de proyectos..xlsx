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geniería de Software II\"/>
    </mc:Choice>
  </mc:AlternateContent>
  <xr:revisionPtr revIDLastSave="0" documentId="8_{FAE99B30-B39E-4D05-B9D9-10685A9FC5EE}" xr6:coauthVersionLast="47" xr6:coauthVersionMax="47" xr10:uidLastSave="{00000000-0000-0000-0000-000000000000}"/>
  <bookViews>
    <workbookView xWindow="-98" yWindow="-98" windowWidth="20715" windowHeight="13155" xr2:uid="{BC98D015-0130-4C6D-AE26-5E1D75436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F15" i="1"/>
  <c r="F14" i="1"/>
  <c r="F13" i="1"/>
</calcChain>
</file>

<file path=xl/sharedStrings.xml><?xml version="1.0" encoding="utf-8"?>
<sst xmlns="http://schemas.openxmlformats.org/spreadsheetml/2006/main" count="62" uniqueCount="62">
  <si>
    <t>fase/ modulo /actividad</t>
  </si>
  <si>
    <t xml:space="preserve">descripcion </t>
  </si>
  <si>
    <t>Levantamiento de requerimientos detallados</t>
  </si>
  <si>
    <t>definicion  de modelo de desarrollo</t>
  </si>
  <si>
    <t>fase de diseño de arquitectura</t>
  </si>
  <si>
    <t xml:space="preserve">fase de inicio y requerimiento </t>
  </si>
  <si>
    <t>selección del marco de trabnajo.</t>
  </si>
  <si>
    <t>diseño de la solucion y arquitectura web/desktop</t>
  </si>
  <si>
    <t>creacion  de diagramas de componentes capas.</t>
  </si>
  <si>
    <t>diseño de base de datos relacional.</t>
  </si>
  <si>
    <t>creacion de modelo entida/relacion para productos y stock.</t>
  </si>
  <si>
    <t>fase de desarrollo por modulos</t>
  </si>
  <si>
    <t xml:space="preserve">modulo 1: ingreso de productos a almacen </t>
  </si>
  <si>
    <t>desarrollo de la interfaz y logica de registro de  mercancia</t>
  </si>
  <si>
    <t>modulo 2: seguimiento de stock y alertas.</t>
  </si>
  <si>
    <t>programacion de logica de stock minimo y alertas visales.</t>
  </si>
  <si>
    <t>modulo 3: alta de proveedores y compra</t>
  </si>
  <si>
    <t>programacion de catalogos de proveedores e historial de compras.</t>
  </si>
  <si>
    <t>modulo 4: generacion de reportes</t>
  </si>
  <si>
    <t>algoritmos para el calculo de dias de inventario y sobreinventario.</t>
  </si>
  <si>
    <t>fase de prueba y calidad</t>
  </si>
  <si>
    <t xml:space="preserve">elaboracion de pruebas integrales </t>
  </si>
  <si>
    <t>ejecucion de caso de pruebas de caja negra y caja blanca.</t>
  </si>
  <si>
    <t xml:space="preserve">impletacion del ambiente de pruebas </t>
  </si>
  <si>
    <t xml:space="preserve">facse de cierre y despliegue </t>
  </si>
  <si>
    <t xml:space="preserve">impletacion en ambiente de produccion </t>
  </si>
  <si>
    <t>despliegue final de la aplicación en la infraestructura del cliente.</t>
  </si>
  <si>
    <t xml:space="preserve">capacitacion y mantenimiento del sistema </t>
  </si>
  <si>
    <t>entrega de meanuales y secion de entrenamiento al usuario final.</t>
  </si>
  <si>
    <t>despliegue en servidor local o de pruebas para validacion interna.</t>
  </si>
  <si>
    <t>entrevistas con el cliente para validar flujos de inventarios.</t>
  </si>
  <si>
    <t>codigo EDT</t>
  </si>
  <si>
    <t xml:space="preserve">actividades </t>
  </si>
  <si>
    <t xml:space="preserve">somple </t>
  </si>
  <si>
    <t>muy facil</t>
  </si>
  <si>
    <t>facil</t>
  </si>
  <si>
    <t>normal</t>
  </si>
  <si>
    <t>dificil</t>
  </si>
  <si>
    <t>muy dificil</t>
  </si>
  <si>
    <t>total /horas</t>
  </si>
  <si>
    <t>levantamiento de requerimiento</t>
  </si>
  <si>
    <t>definicion de modelo de desarrollo</t>
  </si>
  <si>
    <t xml:space="preserve">diseño de solucion </t>
  </si>
  <si>
    <t>diseño de base de datos</t>
  </si>
  <si>
    <t>desarrollo de modulos (1 a 4)</t>
  </si>
  <si>
    <t>elaboracion de pruebas integrales</t>
  </si>
  <si>
    <t>implantacion y mantenimiento</t>
  </si>
  <si>
    <t>total efuerzo global</t>
  </si>
  <si>
    <t>meses</t>
  </si>
  <si>
    <t>total</t>
  </si>
  <si>
    <t>desglose de proyecto</t>
  </si>
  <si>
    <t>conseptos de recursos</t>
  </si>
  <si>
    <t xml:space="preserve">desarrolladores </t>
  </si>
  <si>
    <t>%asignado</t>
  </si>
  <si>
    <t>$ total proyecto</t>
  </si>
  <si>
    <t xml:space="preserve">costos fijos </t>
  </si>
  <si>
    <t xml:space="preserve">costos extras </t>
  </si>
  <si>
    <t xml:space="preserve">ganacias </t>
  </si>
  <si>
    <t>$60.000.00</t>
  </si>
  <si>
    <t>costo del proyecto (4 desarroladores)</t>
  </si>
  <si>
    <t>semanales</t>
  </si>
  <si>
    <t>costo total cotizado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</si>
</sst>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9" fontId="2" fillId="0" borderId="1" xfId="0" applyNumberFormat="1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8" fontId="2" fillId="0" borderId="5" xfId="0" applyNumberFormat="1" applyFont="1" applyBorder="1" applyAlignment="1">
      <alignment horizontal="left"/>
    </xf>
    <xf numFmtId="8" fontId="2" fillId="0" borderId="8" xfId="0" applyNumberFormat="1" applyFont="1" applyBorder="1" applyAlignment="1">
      <alignment horizontal="left"/>
    </xf>
    <xf numFmtId="0" fontId="2" fillId="0" borderId="6" xfId="0" applyFont="1" applyBorder="1"/>
    <xf numFmtId="9" fontId="2" fillId="0" borderId="9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C2420-DD45-4CB8-968A-4E699AC5971A}" name="Tabla2" displayName="Tabla2" ref="A1:C18" totalsRowShown="0">
  <tableColumns count="3">
    <tableColumn id="1" xr3:uid="{0670AC5D-69A5-4E95-A667-72DF8A7E0F9B}" name="codigo EDT" dataDxfId="12"/>
    <tableColumn id="2" xr3:uid="{0416E0F4-707C-4503-9B01-FE11618118BC}" name="fase/ modulo /actividad" dataDxfId="11"/>
    <tableColumn id="3" xr3:uid="{B491BD8F-9D92-4279-8A82-F7ADD32A8053}" name="descripcion " dataDxfId="1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F635E5-C439-4147-BC3B-9076A510F1C4}" name="Tabla3" displayName="Tabla3" ref="E1:L9" totalsRowShown="0" headerRowDxfId="9" dataDxfId="8">
  <tableColumns count="8">
    <tableColumn id="1" xr3:uid="{9BEBBE3F-17C8-49AC-BB61-3985191089C5}" name="actividades " dataDxfId="6"/>
    <tableColumn id="2" xr3:uid="{88FC4B1B-A3CF-4A83-8BD3-DDCB619EAE43}" name="somple " dataDxfId="5"/>
    <tableColumn id="3" xr3:uid="{385860FA-572E-4E38-99DD-44BC80A9779A}" name="muy facil" dataDxfId="4"/>
    <tableColumn id="4" xr3:uid="{6501DEFF-3223-4CB3-B294-F236394C8A3C}" name="facil" dataDxfId="3"/>
    <tableColumn id="5" xr3:uid="{E09DC67F-E753-46DD-A9F5-3BBB25176DFD}" name="normal" dataDxfId="2"/>
    <tableColumn id="6" xr3:uid="{4D38024A-E22E-4B62-9C55-E214DDDFA5C5}" name="dificil" dataDxfId="0"/>
    <tableColumn id="7" xr3:uid="{57C5CB9D-FBB7-42B8-9E2E-3023CEA76DE4}" name="muy dificil" dataDxfId="1"/>
    <tableColumn id="8" xr3:uid="{98D5DD63-94B1-487A-B8CC-15965AE6A659}" name="total /horas" dataDxfId="7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E523-4549-4543-885C-E57755999249}">
  <dimension ref="A1:L24"/>
  <sheetViews>
    <sheetView tabSelected="1" topLeftCell="C1" workbookViewId="0">
      <selection activeCell="E24" sqref="E24"/>
    </sheetView>
  </sheetViews>
  <sheetFormatPr baseColWidth="10" defaultRowHeight="14.25" x14ac:dyDescent="0.45"/>
  <cols>
    <col min="1" max="1" width="14.3984375" customWidth="1"/>
    <col min="2" max="2" width="46.19921875" customWidth="1"/>
    <col min="3" max="3" width="62.73046875" customWidth="1"/>
    <col min="4" max="4" width="4.86328125" customWidth="1"/>
    <col min="5" max="5" width="33.59765625" customWidth="1"/>
    <col min="7" max="7" width="11.9296875" customWidth="1"/>
    <col min="11" max="11" width="13.33203125" customWidth="1"/>
    <col min="12" max="12" width="14.19921875" customWidth="1"/>
  </cols>
  <sheetData>
    <row r="1" spans="1:12" ht="15.75" thickBot="1" x14ac:dyDescent="0.5">
      <c r="A1" s="9" t="s">
        <v>31</v>
      </c>
      <c r="B1" s="15" t="s">
        <v>0</v>
      </c>
      <c r="C1" s="3" t="s">
        <v>1</v>
      </c>
      <c r="E1" s="3" t="s">
        <v>32</v>
      </c>
      <c r="F1" s="2" t="s">
        <v>33</v>
      </c>
      <c r="G1" s="1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</row>
    <row r="2" spans="1:12" ht="15.75" thickBot="1" x14ac:dyDescent="0.5">
      <c r="A2" s="8">
        <v>1</v>
      </c>
      <c r="B2" s="16" t="s">
        <v>5</v>
      </c>
      <c r="C2" s="7"/>
      <c r="E2" s="7" t="s">
        <v>40</v>
      </c>
      <c r="F2" s="11"/>
      <c r="G2" s="11"/>
      <c r="H2" s="11"/>
      <c r="I2" s="11"/>
      <c r="J2" s="11">
        <v>1</v>
      </c>
      <c r="K2" s="11"/>
      <c r="L2" s="11">
        <v>32</v>
      </c>
    </row>
    <row r="3" spans="1:12" ht="16.5" customHeight="1" thickBot="1" x14ac:dyDescent="0.5">
      <c r="A3" s="8">
        <v>1.1000000000000001</v>
      </c>
      <c r="B3" s="17" t="s">
        <v>2</v>
      </c>
      <c r="C3" s="18" t="s">
        <v>30</v>
      </c>
      <c r="E3" s="7" t="s">
        <v>41</v>
      </c>
      <c r="F3" s="11"/>
      <c r="G3" s="11"/>
      <c r="H3" s="11">
        <v>1</v>
      </c>
      <c r="I3" s="11"/>
      <c r="J3" s="11"/>
      <c r="K3" s="11"/>
      <c r="L3" s="11">
        <v>16</v>
      </c>
    </row>
    <row r="4" spans="1:12" ht="15.75" customHeight="1" thickBot="1" x14ac:dyDescent="0.5">
      <c r="A4" s="8">
        <v>1.2</v>
      </c>
      <c r="B4" s="18" t="s">
        <v>3</v>
      </c>
      <c r="C4" s="7" t="s">
        <v>6</v>
      </c>
      <c r="E4" s="7" t="s">
        <v>42</v>
      </c>
      <c r="F4" s="11"/>
      <c r="G4" s="11"/>
      <c r="H4" s="11"/>
      <c r="I4" s="11"/>
      <c r="J4" s="11">
        <v>1</v>
      </c>
      <c r="K4" s="11"/>
      <c r="L4" s="11">
        <v>32</v>
      </c>
    </row>
    <row r="5" spans="1:12" ht="15.75" thickBot="1" x14ac:dyDescent="0.5">
      <c r="A5" s="12">
        <v>2</v>
      </c>
      <c r="B5" s="19" t="s">
        <v>4</v>
      </c>
      <c r="C5" s="7"/>
      <c r="E5" s="7" t="s">
        <v>43</v>
      </c>
      <c r="F5" s="22">
        <v>1</v>
      </c>
      <c r="G5" s="11"/>
      <c r="H5" s="11"/>
      <c r="I5" s="11"/>
      <c r="J5" s="11"/>
      <c r="K5" s="11"/>
      <c r="L5" s="11">
        <v>4</v>
      </c>
    </row>
    <row r="6" spans="1:12" ht="15.75" thickBot="1" x14ac:dyDescent="0.5">
      <c r="A6" s="8">
        <v>2.1</v>
      </c>
      <c r="B6" s="7" t="s">
        <v>7</v>
      </c>
      <c r="C6" s="4" t="s">
        <v>8</v>
      </c>
      <c r="E6" s="7" t="s">
        <v>44</v>
      </c>
      <c r="F6" s="11"/>
      <c r="G6" s="11"/>
      <c r="H6" s="11"/>
      <c r="I6" s="21"/>
      <c r="J6" s="21"/>
      <c r="K6" s="21">
        <v>1</v>
      </c>
      <c r="L6" s="21">
        <v>120</v>
      </c>
    </row>
    <row r="7" spans="1:12" ht="15.75" thickBot="1" x14ac:dyDescent="0.5">
      <c r="A7" s="14">
        <v>2.2000000000000002</v>
      </c>
      <c r="B7" s="6" t="s">
        <v>9</v>
      </c>
      <c r="C7" s="4" t="s">
        <v>10</v>
      </c>
      <c r="E7" s="7" t="s">
        <v>45</v>
      </c>
      <c r="F7" s="11"/>
      <c r="G7" s="11"/>
      <c r="H7" s="11">
        <v>1</v>
      </c>
      <c r="I7" s="11"/>
      <c r="J7" s="11"/>
      <c r="K7" s="11"/>
      <c r="L7" s="11">
        <v>16</v>
      </c>
    </row>
    <row r="8" spans="1:12" ht="15.75" thickBot="1" x14ac:dyDescent="0.5">
      <c r="A8" s="8">
        <v>3</v>
      </c>
      <c r="B8" s="3" t="s">
        <v>11</v>
      </c>
      <c r="C8" s="7"/>
      <c r="E8" s="7" t="s">
        <v>46</v>
      </c>
      <c r="F8" s="11"/>
      <c r="G8" s="11"/>
      <c r="H8" s="11"/>
      <c r="I8" s="10">
        <v>1</v>
      </c>
      <c r="J8" s="10"/>
      <c r="K8" s="10"/>
      <c r="L8" s="10">
        <v>24</v>
      </c>
    </row>
    <row r="9" spans="1:12" ht="15.75" thickBot="1" x14ac:dyDescent="0.5">
      <c r="A9" s="8">
        <v>3.1</v>
      </c>
      <c r="B9" s="20" t="s">
        <v>12</v>
      </c>
      <c r="C9" s="7" t="s">
        <v>13</v>
      </c>
      <c r="E9" s="5" t="s">
        <v>47</v>
      </c>
      <c r="F9" s="10"/>
      <c r="G9" s="10"/>
      <c r="H9" s="10"/>
      <c r="I9" s="10"/>
      <c r="J9" s="10"/>
      <c r="K9" s="10"/>
      <c r="L9" s="33">
        <f>L2+L3+L4+L5+L6+L7+L8</f>
        <v>244</v>
      </c>
    </row>
    <row r="10" spans="1:12" ht="15.75" thickBot="1" x14ac:dyDescent="0.5">
      <c r="A10" s="8">
        <v>3.2</v>
      </c>
      <c r="B10" s="20" t="s">
        <v>14</v>
      </c>
      <c r="C10" s="7" t="s">
        <v>15</v>
      </c>
    </row>
    <row r="11" spans="1:12" ht="15.75" thickBot="1" x14ac:dyDescent="0.5">
      <c r="A11" s="8">
        <v>3.3</v>
      </c>
      <c r="B11" s="20" t="s">
        <v>16</v>
      </c>
      <c r="C11" s="7" t="s">
        <v>17</v>
      </c>
    </row>
    <row r="12" spans="1:12" ht="15.75" thickBot="1" x14ac:dyDescent="0.5">
      <c r="A12" s="8">
        <v>3.4</v>
      </c>
      <c r="B12" s="20" t="s">
        <v>18</v>
      </c>
      <c r="C12" s="7" t="s">
        <v>19</v>
      </c>
      <c r="E12" s="9" t="s">
        <v>59</v>
      </c>
      <c r="F12" s="11"/>
      <c r="G12" s="31"/>
      <c r="H12" s="31"/>
      <c r="I12" s="31"/>
    </row>
    <row r="13" spans="1:12" ht="15.75" thickBot="1" x14ac:dyDescent="0.5">
      <c r="A13" s="8">
        <v>4</v>
      </c>
      <c r="B13" s="3" t="s">
        <v>20</v>
      </c>
      <c r="C13" s="7"/>
      <c r="E13" s="7" t="s">
        <v>60</v>
      </c>
      <c r="F13" s="7">
        <f>4*30</f>
        <v>120</v>
      </c>
      <c r="G13" s="32"/>
      <c r="H13" s="32"/>
      <c r="I13" s="32"/>
    </row>
    <row r="14" spans="1:12" ht="15.75" thickBot="1" x14ac:dyDescent="0.5">
      <c r="A14" s="8">
        <v>4.0999999999999996</v>
      </c>
      <c r="B14" s="7" t="s">
        <v>21</v>
      </c>
      <c r="C14" s="4" t="s">
        <v>22</v>
      </c>
      <c r="E14" s="7" t="s">
        <v>48</v>
      </c>
      <c r="F14" s="7">
        <f>244 /F13</f>
        <v>2.0333333333333332</v>
      </c>
      <c r="G14" s="32"/>
      <c r="H14" s="32"/>
      <c r="I14" s="32"/>
    </row>
    <row r="15" spans="1:12" ht="15.75" thickBot="1" x14ac:dyDescent="0.5">
      <c r="A15" s="13">
        <v>4.2</v>
      </c>
      <c r="B15" s="7" t="s">
        <v>23</v>
      </c>
      <c r="C15" s="4" t="s">
        <v>29</v>
      </c>
      <c r="E15" s="9" t="s">
        <v>49</v>
      </c>
      <c r="F15" s="7">
        <f>F14</f>
        <v>2.0333333333333332</v>
      </c>
      <c r="G15" s="32"/>
      <c r="H15" s="32"/>
      <c r="I15" s="32"/>
    </row>
    <row r="16" spans="1:12" ht="15.75" thickBot="1" x14ac:dyDescent="0.5">
      <c r="A16" s="8">
        <v>5</v>
      </c>
      <c r="B16" s="3" t="s">
        <v>24</v>
      </c>
      <c r="C16" s="7"/>
      <c r="E16" s="32"/>
      <c r="F16" s="32"/>
      <c r="G16" s="32"/>
      <c r="H16" s="32"/>
      <c r="I16" s="32"/>
    </row>
    <row r="17" spans="1:7" ht="15.75" thickBot="1" x14ac:dyDescent="0.5">
      <c r="A17" s="8">
        <v>5.0999999999999996</v>
      </c>
      <c r="B17" s="4" t="s">
        <v>25</v>
      </c>
      <c r="C17" s="4" t="s">
        <v>26</v>
      </c>
    </row>
    <row r="18" spans="1:7" ht="15.75" thickBot="1" x14ac:dyDescent="0.5">
      <c r="A18" s="14">
        <v>5.2</v>
      </c>
      <c r="B18" s="6" t="s">
        <v>27</v>
      </c>
      <c r="C18" s="6" t="s">
        <v>28</v>
      </c>
      <c r="E18" s="9" t="s">
        <v>50</v>
      </c>
      <c r="F18" s="11"/>
    </row>
    <row r="19" spans="1:7" ht="15.75" thickBot="1" x14ac:dyDescent="0.5">
      <c r="E19" s="11" t="s">
        <v>51</v>
      </c>
      <c r="F19" s="21" t="s">
        <v>53</v>
      </c>
      <c r="G19" s="23" t="s">
        <v>54</v>
      </c>
    </row>
    <row r="20" spans="1:7" ht="15.75" thickBot="1" x14ac:dyDescent="0.5">
      <c r="E20" s="10" t="s">
        <v>52</v>
      </c>
      <c r="F20" s="25">
        <v>0.5</v>
      </c>
      <c r="G20" s="27">
        <v>30000</v>
      </c>
    </row>
    <row r="21" spans="1:7" ht="15.75" thickBot="1" x14ac:dyDescent="0.5">
      <c r="E21" s="11" t="s">
        <v>55</v>
      </c>
      <c r="F21" s="26">
        <v>0.3</v>
      </c>
      <c r="G21" s="28">
        <v>18000</v>
      </c>
    </row>
    <row r="22" spans="1:7" ht="15.75" thickBot="1" x14ac:dyDescent="0.5">
      <c r="E22" s="10" t="s">
        <v>56</v>
      </c>
      <c r="F22" s="25">
        <v>0.1</v>
      </c>
      <c r="G22" s="27">
        <v>6000</v>
      </c>
    </row>
    <row r="23" spans="1:7" ht="15.75" thickBot="1" x14ac:dyDescent="0.5">
      <c r="E23" s="10" t="s">
        <v>57</v>
      </c>
      <c r="F23" s="26">
        <v>0.1</v>
      </c>
      <c r="G23" s="28">
        <v>6000</v>
      </c>
    </row>
    <row r="24" spans="1:7" ht="15.75" thickBot="1" x14ac:dyDescent="0.5">
      <c r="E24" s="29" t="s">
        <v>61</v>
      </c>
      <c r="F24" s="30">
        <v>1</v>
      </c>
      <c r="G24" s="24" t="s">
        <v>58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LAZARO MENDEZ</dc:creator>
  <cp:lastModifiedBy>MONICA LAZARO MENDEZ</cp:lastModifiedBy>
  <dcterms:created xsi:type="dcterms:W3CDTF">2026-06-04T23:12:09Z</dcterms:created>
  <dcterms:modified xsi:type="dcterms:W3CDTF">2026-06-08T20:15:53Z</dcterms:modified>
</cp:coreProperties>
</file>