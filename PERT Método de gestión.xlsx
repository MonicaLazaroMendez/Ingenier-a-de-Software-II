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geniería de Software II\"/>
    </mc:Choice>
  </mc:AlternateContent>
  <xr:revisionPtr revIDLastSave="0" documentId="8_{74AD1158-B5EC-4377-B4E6-5C6E1EBEB6F7}" xr6:coauthVersionLast="47" xr6:coauthVersionMax="47" xr10:uidLastSave="{00000000-0000-0000-0000-000000000000}"/>
  <bookViews>
    <workbookView xWindow="-98" yWindow="-98" windowWidth="20715" windowHeight="13155" activeTab="1" xr2:uid="{B61EF630-76A0-41FB-A6F1-36BE3D1DBC3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" i="2" l="1"/>
  <c r="B22" i="2"/>
  <c r="B21" i="2"/>
  <c r="B20" i="2"/>
  <c r="B19" i="2"/>
  <c r="B18" i="2"/>
  <c r="C14" i="2"/>
  <c r="C13" i="2"/>
  <c r="C12" i="2"/>
  <c r="C11" i="2"/>
</calcChain>
</file>

<file path=xl/sharedStrings.xml><?xml version="1.0" encoding="utf-8"?>
<sst xmlns="http://schemas.openxmlformats.org/spreadsheetml/2006/main" count="62" uniqueCount="55">
  <si>
    <t xml:space="preserve"> </t>
  </si>
  <si>
    <r>
      <t xml:space="preserve">Actividad </t>
    </r>
    <r>
      <rPr>
        <b/>
        <sz val="18"/>
        <color rgb="FF1D63AF"/>
        <rFont val="Arial"/>
        <family val="2"/>
      </rPr>
      <t xml:space="preserve">| </t>
    </r>
    <r>
      <rPr>
        <b/>
        <sz val="18"/>
        <color rgb="FF231F20"/>
        <rFont val="Arial"/>
        <family val="2"/>
      </rPr>
      <t>#2</t>
    </r>
    <r>
      <rPr>
        <sz val="18"/>
        <color rgb="FF1D63AF"/>
        <rFont val="Arial Black"/>
        <family val="2"/>
      </rPr>
      <t xml:space="preserve">| </t>
    </r>
    <r>
      <rPr>
        <b/>
        <sz val="18"/>
        <color rgb="FF231F20"/>
        <rFont val="Arial"/>
        <family val="2"/>
      </rPr>
      <t xml:space="preserve">Nombre de la actividad: </t>
    </r>
  </si>
  <si>
    <t xml:space="preserve">                                  PERT Método de gestión</t>
  </si>
  <si>
    <r>
      <t xml:space="preserve"> </t>
    </r>
    <r>
      <rPr>
        <b/>
        <sz val="18"/>
        <color rgb="FF1D63AF"/>
        <rFont val="Arial"/>
        <family val="2"/>
      </rPr>
      <t>Nombre del curso</t>
    </r>
  </si>
  <si>
    <t>Ingeniería en Desarrollo de Software</t>
  </si>
  <si>
    <t>TUTOR: Eduardo Israel Castillo García</t>
  </si>
  <si>
    <t xml:space="preserve">ALUMNO: MONICA LAZARO MENDEZ </t>
  </si>
  <si>
    <t>FECHA: 08/06/2026</t>
  </si>
  <si>
    <t>A</t>
  </si>
  <si>
    <t>B</t>
  </si>
  <si>
    <t>C</t>
  </si>
  <si>
    <t>D</t>
  </si>
  <si>
    <t>E</t>
  </si>
  <si>
    <t>F</t>
  </si>
  <si>
    <t xml:space="preserve">Ingreso de productos a almacén </t>
  </si>
  <si>
    <t xml:space="preserve">Inicio </t>
  </si>
  <si>
    <t xml:space="preserve">Seguimiento de stock </t>
  </si>
  <si>
    <t xml:space="preserve">Alta de proveedores </t>
  </si>
  <si>
    <t xml:space="preserve">Alertas de reposición </t>
  </si>
  <si>
    <t xml:space="preserve">A </t>
  </si>
  <si>
    <t xml:space="preserve">Compra de productos </t>
  </si>
  <si>
    <t>A, B</t>
  </si>
  <si>
    <t xml:space="preserve">Generación de reportes </t>
  </si>
  <si>
    <t>G</t>
  </si>
  <si>
    <t>Pruebas e Integración del Sistema</t>
  </si>
  <si>
    <t>D, E, C, F</t>
  </si>
  <si>
    <t>Módulo del Sistema</t>
  </si>
  <si>
    <t xml:space="preserve">To​ </t>
  </si>
  <si>
    <t xml:space="preserve">Tm​ </t>
  </si>
  <si>
    <t xml:space="preserve">Tp​ </t>
  </si>
  <si>
    <t xml:space="preserve">Tiempo Estimado (Te​) </t>
  </si>
  <si>
    <t xml:space="preserve">Predecesora </t>
  </si>
  <si>
    <t>Actividad</t>
  </si>
  <si>
    <t>ruta 1</t>
  </si>
  <si>
    <t>ruta 2</t>
  </si>
  <si>
    <t>ruta 3</t>
  </si>
  <si>
    <t>ruta 4</t>
  </si>
  <si>
    <t>A - D - G</t>
  </si>
  <si>
    <t>B - F - G</t>
  </si>
  <si>
    <t>A - E-  G</t>
  </si>
  <si>
    <t xml:space="preserve">ANALISIS DE RUTA Y DETERMINACION </t>
  </si>
  <si>
    <t>B - C - E - G</t>
  </si>
  <si>
    <t>Tabla de Varianzas de la Ruta Crítica</t>
  </si>
  <si>
    <t>varianza A</t>
  </si>
  <si>
    <t>varianza D</t>
  </si>
  <si>
    <t>varianza G</t>
  </si>
  <si>
    <t>total</t>
  </si>
  <si>
    <r>
      <t>Varianza (Va):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Google Sans Text"/>
        <family val="2"/>
      </rPr>
      <t>=((Tp - To) / 6) ^ 2</t>
    </r>
    <r>
      <rPr>
        <sz val="12"/>
        <color theme="1"/>
        <rFont val="Arial"/>
        <family val="2"/>
      </rPr>
      <t xml:space="preserve"> </t>
    </r>
  </si>
  <si>
    <t>formula de Z</t>
  </si>
  <si>
    <t>Z= (X - M)/ DESVIACION ESTANDAR</t>
  </si>
  <si>
    <t xml:space="preserve">M=22 SEMANAS </t>
  </si>
  <si>
    <t>X=2 MESES (8) SEMANAS</t>
  </si>
  <si>
    <t>DESVIACION ESTANDAR</t>
  </si>
  <si>
    <t>SEMANAS</t>
  </si>
  <si>
    <t>Z= -639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</si>
</sst>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8"/>
      <color rgb="FF231F20"/>
      <name val="Arial"/>
      <family val="2"/>
    </font>
    <font>
      <b/>
      <sz val="18"/>
      <color rgb="FF1D63AF"/>
      <name val="Arial"/>
      <family val="2"/>
    </font>
    <font>
      <sz val="18"/>
      <color rgb="FF1D63AF"/>
      <name val="Arial Black"/>
      <family val="2"/>
    </font>
    <font>
      <sz val="18"/>
      <color rgb="FF231F20"/>
      <name val="Arial"/>
      <family val="2"/>
    </font>
    <font>
      <sz val="10"/>
      <color theme="1"/>
      <name val="Arial"/>
      <family val="2"/>
    </font>
    <font>
      <sz val="10.5"/>
      <color theme="1"/>
      <name val="Arial"/>
      <family val="2"/>
    </font>
    <font>
      <sz val="12"/>
      <color rgb="FF231F20"/>
      <name val="Arial"/>
      <family val="2"/>
    </font>
    <font>
      <sz val="16.5"/>
      <color theme="1"/>
      <name val="Arial"/>
      <family val="2"/>
    </font>
    <font>
      <sz val="12"/>
      <color theme="1"/>
      <name val="Aptos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center" indent="15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left" vertical="center" indent="6"/>
    </xf>
    <xf numFmtId="0" fontId="8" fillId="0" borderId="0" xfId="0" applyFont="1" applyAlignment="1">
      <alignment horizontal="left" vertical="center" indent="11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3" fillId="0" borderId="4" xfId="0" applyFont="1" applyBorder="1" applyAlignment="1">
      <alignment horizontal="center"/>
    </xf>
    <xf numFmtId="0" fontId="11" fillId="0" borderId="5" xfId="0" applyFont="1" applyBorder="1"/>
    <xf numFmtId="0" fontId="12" fillId="0" borderId="1" xfId="0" applyFont="1" applyBorder="1" applyAlignment="1">
      <alignment horizontal="center"/>
    </xf>
    <xf numFmtId="0" fontId="11" fillId="0" borderId="1" xfId="0" applyFont="1" applyBorder="1"/>
    <xf numFmtId="0" fontId="1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2" borderId="3" xfId="0" applyFont="1" applyFill="1" applyBorder="1"/>
    <xf numFmtId="0" fontId="12" fillId="0" borderId="6" xfId="0" applyFont="1" applyBorder="1"/>
    <xf numFmtId="0" fontId="12" fillId="0" borderId="7" xfId="0" applyFont="1" applyBorder="1"/>
    <xf numFmtId="0" fontId="12" fillId="0" borderId="8" xfId="0" applyFont="1" applyBorder="1"/>
    <xf numFmtId="0" fontId="11" fillId="0" borderId="6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0" borderId="1" xfId="0" applyFont="1" applyFill="1" applyBorder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561974</xdr:colOff>
      <xdr:row>37</xdr:row>
      <xdr:rowOff>185737</xdr:rowOff>
    </xdr:to>
    <xdr:grpSp>
      <xdr:nvGrpSpPr>
        <xdr:cNvPr id="51" name="Group 2">
          <a:extLst>
            <a:ext uri="{FF2B5EF4-FFF2-40B4-BE49-F238E27FC236}">
              <a16:creationId xmlns:a16="http://schemas.microsoft.com/office/drawing/2014/main" id="{641AD59D-AB5A-65A8-8A37-BFCC9652012E}"/>
            </a:ext>
          </a:extLst>
        </xdr:cNvPr>
        <xdr:cNvGrpSpPr>
          <a:grpSpLocks/>
        </xdr:cNvGrpSpPr>
      </xdr:nvGrpSpPr>
      <xdr:grpSpPr bwMode="auto">
        <a:xfrm>
          <a:off x="0" y="0"/>
          <a:ext cx="5895974" cy="7600950"/>
          <a:chOff x="0" y="0"/>
          <a:chExt cx="12240" cy="15609"/>
        </a:xfrm>
      </xdr:grpSpPr>
      <xdr:pic>
        <xdr:nvPicPr>
          <xdr:cNvPr id="52" name="Picture 3">
            <a:extLst>
              <a:ext uri="{FF2B5EF4-FFF2-40B4-BE49-F238E27FC236}">
                <a16:creationId xmlns:a16="http://schemas.microsoft.com/office/drawing/2014/main" id="{B1F37AAF-5FCE-6500-2D72-5EC092A5B34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93" y="15409"/>
            <a:ext cx="200" cy="2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3" name="Picture 4">
            <a:extLst>
              <a:ext uri="{FF2B5EF4-FFF2-40B4-BE49-F238E27FC236}">
                <a16:creationId xmlns:a16="http://schemas.microsoft.com/office/drawing/2014/main" id="{E6955515-F20A-73FB-4D61-E353226E937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76" y="15409"/>
            <a:ext cx="200" cy="2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4" name="Picture 5">
            <a:extLst>
              <a:ext uri="{FF2B5EF4-FFF2-40B4-BE49-F238E27FC236}">
                <a16:creationId xmlns:a16="http://schemas.microsoft.com/office/drawing/2014/main" id="{2C967CE3-5007-5510-4AF2-D0F59E6A244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76" y="15060"/>
            <a:ext cx="200" cy="2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5" name="Picture 6">
            <a:extLst>
              <a:ext uri="{FF2B5EF4-FFF2-40B4-BE49-F238E27FC236}">
                <a16:creationId xmlns:a16="http://schemas.microsoft.com/office/drawing/2014/main" id="{956FB439-42AA-59C5-06D6-C07F395AF89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8" y="15409"/>
            <a:ext cx="200" cy="2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6" name="Picture 7">
            <a:extLst>
              <a:ext uri="{FF2B5EF4-FFF2-40B4-BE49-F238E27FC236}">
                <a16:creationId xmlns:a16="http://schemas.microsoft.com/office/drawing/2014/main" id="{70DB7742-6615-6CB7-6AE5-438CA52F436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8" y="15060"/>
            <a:ext cx="200" cy="2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7" name="Picture 8">
            <a:extLst>
              <a:ext uri="{FF2B5EF4-FFF2-40B4-BE49-F238E27FC236}">
                <a16:creationId xmlns:a16="http://schemas.microsoft.com/office/drawing/2014/main" id="{58F86229-FD15-FA08-01DC-0117321E5AB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8" y="14710"/>
            <a:ext cx="200" cy="2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8" name="Picture 9">
            <a:extLst>
              <a:ext uri="{FF2B5EF4-FFF2-40B4-BE49-F238E27FC236}">
                <a16:creationId xmlns:a16="http://schemas.microsoft.com/office/drawing/2014/main" id="{632396C1-5B41-1EF2-4186-66D798AED2E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0" y="15409"/>
            <a:ext cx="200" cy="2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9" name="Picture 10">
            <a:extLst>
              <a:ext uri="{FF2B5EF4-FFF2-40B4-BE49-F238E27FC236}">
                <a16:creationId xmlns:a16="http://schemas.microsoft.com/office/drawing/2014/main" id="{C817AE1C-A9FA-D724-33F4-8D79FD09517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0" y="15060"/>
            <a:ext cx="200" cy="2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0" name="Picture 11">
            <a:extLst>
              <a:ext uri="{FF2B5EF4-FFF2-40B4-BE49-F238E27FC236}">
                <a16:creationId xmlns:a16="http://schemas.microsoft.com/office/drawing/2014/main" id="{D8E3190A-4B58-EDCD-5EA5-B38C5EEA23A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0" y="14710"/>
            <a:ext cx="200" cy="2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1" name="Picture 12">
            <a:extLst>
              <a:ext uri="{FF2B5EF4-FFF2-40B4-BE49-F238E27FC236}">
                <a16:creationId xmlns:a16="http://schemas.microsoft.com/office/drawing/2014/main" id="{6BF58AD1-6F5F-1305-D65B-7B65931DE98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0" y="14361"/>
            <a:ext cx="200" cy="2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62" name="Group 13">
            <a:extLst>
              <a:ext uri="{FF2B5EF4-FFF2-40B4-BE49-F238E27FC236}">
                <a16:creationId xmlns:a16="http://schemas.microsoft.com/office/drawing/2014/main" id="{EB5A2210-E113-E55E-D6D8-81EAA24CF5F3}"/>
              </a:ext>
            </a:extLst>
          </xdr:cNvPr>
          <xdr:cNvGrpSpPr>
            <a:grpSpLocks/>
          </xdr:cNvGrpSpPr>
        </xdr:nvGrpSpPr>
        <xdr:grpSpPr bwMode="auto">
          <a:xfrm>
            <a:off x="14" y="694"/>
            <a:ext cx="11902" cy="2060"/>
            <a:chOff x="14" y="694"/>
            <a:chExt cx="11902" cy="2060"/>
          </a:xfrm>
        </xdr:grpSpPr>
        <xdr:sp macro="" textlink="">
          <xdr:nvSpPr>
            <xdr:cNvPr id="78" name="Freeform 14">
              <a:extLst>
                <a:ext uri="{FF2B5EF4-FFF2-40B4-BE49-F238E27FC236}">
                  <a16:creationId xmlns:a16="http://schemas.microsoft.com/office/drawing/2014/main" id="{D644D9F8-BC1E-8621-045D-3338CFEE31A2}"/>
                </a:ext>
              </a:extLst>
            </xdr:cNvPr>
            <xdr:cNvSpPr>
              <a:spLocks/>
            </xdr:cNvSpPr>
          </xdr:nvSpPr>
          <xdr:spPr bwMode="auto">
            <a:xfrm>
              <a:off x="320" y="2239"/>
              <a:ext cx="11596" cy="515"/>
            </a:xfrm>
            <a:custGeom>
              <a:avLst/>
              <a:gdLst>
                <a:gd name="T0" fmla="*/ 79 w 11596"/>
                <a:gd name="T1" fmla="*/ 435 h 515"/>
                <a:gd name="T2" fmla="*/ 0 w 11596"/>
                <a:gd name="T3" fmla="*/ 435 h 515"/>
                <a:gd name="T4" fmla="*/ 0 w 11596"/>
                <a:gd name="T5" fmla="*/ 514 h 515"/>
                <a:gd name="T6" fmla="*/ 79 w 11596"/>
                <a:gd name="T7" fmla="*/ 514 h 515"/>
                <a:gd name="T8" fmla="*/ 79 w 11596"/>
                <a:gd name="T9" fmla="*/ 435 h 5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1596" h="515">
                  <a:moveTo>
                    <a:pt x="79" y="435"/>
                  </a:moveTo>
                  <a:lnTo>
                    <a:pt x="0" y="435"/>
                  </a:lnTo>
                  <a:lnTo>
                    <a:pt x="0" y="514"/>
                  </a:lnTo>
                  <a:lnTo>
                    <a:pt x="79" y="514"/>
                  </a:lnTo>
                  <a:lnTo>
                    <a:pt x="79" y="435"/>
                  </a:lnTo>
                  <a:close/>
                </a:path>
              </a:pathLst>
            </a:custGeom>
            <a:solidFill>
              <a:srgbClr val="DBEEF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MX"/>
            </a:p>
          </xdr:txBody>
        </xdr:sp>
        <xdr:sp macro="" textlink="">
          <xdr:nvSpPr>
            <xdr:cNvPr id="79" name="Freeform 15">
              <a:extLst>
                <a:ext uri="{FF2B5EF4-FFF2-40B4-BE49-F238E27FC236}">
                  <a16:creationId xmlns:a16="http://schemas.microsoft.com/office/drawing/2014/main" id="{3C48E533-19D9-C446-6687-A004AC4B6A54}"/>
                </a:ext>
              </a:extLst>
            </xdr:cNvPr>
            <xdr:cNvSpPr>
              <a:spLocks/>
            </xdr:cNvSpPr>
          </xdr:nvSpPr>
          <xdr:spPr bwMode="auto">
            <a:xfrm>
              <a:off x="320" y="2239"/>
              <a:ext cx="11596" cy="515"/>
            </a:xfrm>
            <a:custGeom>
              <a:avLst/>
              <a:gdLst>
                <a:gd name="T0" fmla="*/ 79 w 11596"/>
                <a:gd name="T1" fmla="*/ 290 h 515"/>
                <a:gd name="T2" fmla="*/ 0 w 11596"/>
                <a:gd name="T3" fmla="*/ 290 h 515"/>
                <a:gd name="T4" fmla="*/ 0 w 11596"/>
                <a:gd name="T5" fmla="*/ 369 h 515"/>
                <a:gd name="T6" fmla="*/ 79 w 11596"/>
                <a:gd name="T7" fmla="*/ 369 h 515"/>
                <a:gd name="T8" fmla="*/ 79 w 11596"/>
                <a:gd name="T9" fmla="*/ 290 h 5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1596" h="515">
                  <a:moveTo>
                    <a:pt x="79" y="290"/>
                  </a:moveTo>
                  <a:lnTo>
                    <a:pt x="0" y="290"/>
                  </a:lnTo>
                  <a:lnTo>
                    <a:pt x="0" y="369"/>
                  </a:lnTo>
                  <a:lnTo>
                    <a:pt x="79" y="369"/>
                  </a:lnTo>
                  <a:lnTo>
                    <a:pt x="79" y="290"/>
                  </a:lnTo>
                  <a:close/>
                </a:path>
              </a:pathLst>
            </a:custGeom>
            <a:solidFill>
              <a:srgbClr val="DBEEF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MX"/>
            </a:p>
          </xdr:txBody>
        </xdr:sp>
        <xdr:sp macro="" textlink="">
          <xdr:nvSpPr>
            <xdr:cNvPr id="80" name="Freeform 16">
              <a:extLst>
                <a:ext uri="{FF2B5EF4-FFF2-40B4-BE49-F238E27FC236}">
                  <a16:creationId xmlns:a16="http://schemas.microsoft.com/office/drawing/2014/main" id="{6F86DCA6-AB2B-2AAA-5A49-8E63BB55BABE}"/>
                </a:ext>
              </a:extLst>
            </xdr:cNvPr>
            <xdr:cNvSpPr>
              <a:spLocks/>
            </xdr:cNvSpPr>
          </xdr:nvSpPr>
          <xdr:spPr bwMode="auto">
            <a:xfrm>
              <a:off x="320" y="2239"/>
              <a:ext cx="11596" cy="515"/>
            </a:xfrm>
            <a:custGeom>
              <a:avLst/>
              <a:gdLst>
                <a:gd name="T0" fmla="*/ 79 w 11596"/>
                <a:gd name="T1" fmla="*/ 145 h 515"/>
                <a:gd name="T2" fmla="*/ 0 w 11596"/>
                <a:gd name="T3" fmla="*/ 145 h 515"/>
                <a:gd name="T4" fmla="*/ 0 w 11596"/>
                <a:gd name="T5" fmla="*/ 224 h 515"/>
                <a:gd name="T6" fmla="*/ 79 w 11596"/>
                <a:gd name="T7" fmla="*/ 224 h 515"/>
                <a:gd name="T8" fmla="*/ 79 w 11596"/>
                <a:gd name="T9" fmla="*/ 145 h 5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1596" h="515">
                  <a:moveTo>
                    <a:pt x="79" y="145"/>
                  </a:moveTo>
                  <a:lnTo>
                    <a:pt x="0" y="145"/>
                  </a:lnTo>
                  <a:lnTo>
                    <a:pt x="0" y="224"/>
                  </a:lnTo>
                  <a:lnTo>
                    <a:pt x="79" y="224"/>
                  </a:lnTo>
                  <a:lnTo>
                    <a:pt x="79" y="145"/>
                  </a:lnTo>
                  <a:close/>
                </a:path>
              </a:pathLst>
            </a:custGeom>
            <a:solidFill>
              <a:srgbClr val="DBEEF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MX"/>
            </a:p>
          </xdr:txBody>
        </xdr:sp>
        <xdr:sp macro="" textlink="">
          <xdr:nvSpPr>
            <xdr:cNvPr id="81" name="Freeform 17">
              <a:extLst>
                <a:ext uri="{FF2B5EF4-FFF2-40B4-BE49-F238E27FC236}">
                  <a16:creationId xmlns:a16="http://schemas.microsoft.com/office/drawing/2014/main" id="{B9C6E32A-1F66-1206-E76F-FF648FC755DE}"/>
                </a:ext>
              </a:extLst>
            </xdr:cNvPr>
            <xdr:cNvSpPr>
              <a:spLocks/>
            </xdr:cNvSpPr>
          </xdr:nvSpPr>
          <xdr:spPr bwMode="auto">
            <a:xfrm>
              <a:off x="320" y="2239"/>
              <a:ext cx="11596" cy="515"/>
            </a:xfrm>
            <a:custGeom>
              <a:avLst/>
              <a:gdLst>
                <a:gd name="T0" fmla="*/ 79 w 11596"/>
                <a:gd name="T1" fmla="*/ 0 h 515"/>
                <a:gd name="T2" fmla="*/ 0 w 11596"/>
                <a:gd name="T3" fmla="*/ 0 h 515"/>
                <a:gd name="T4" fmla="*/ 0 w 11596"/>
                <a:gd name="T5" fmla="*/ 79 h 515"/>
                <a:gd name="T6" fmla="*/ 79 w 11596"/>
                <a:gd name="T7" fmla="*/ 79 h 515"/>
                <a:gd name="T8" fmla="*/ 79 w 11596"/>
                <a:gd name="T9" fmla="*/ 0 h 5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1596" h="515">
                  <a:moveTo>
                    <a:pt x="79" y="0"/>
                  </a:moveTo>
                  <a:lnTo>
                    <a:pt x="0" y="0"/>
                  </a:lnTo>
                  <a:lnTo>
                    <a:pt x="0" y="79"/>
                  </a:lnTo>
                  <a:lnTo>
                    <a:pt x="79" y="79"/>
                  </a:lnTo>
                  <a:lnTo>
                    <a:pt x="79" y="0"/>
                  </a:lnTo>
                  <a:close/>
                </a:path>
              </a:pathLst>
            </a:custGeom>
            <a:solidFill>
              <a:srgbClr val="DBEEF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MX"/>
            </a:p>
          </xdr:txBody>
        </xdr:sp>
        <xdr:sp macro="" textlink="">
          <xdr:nvSpPr>
            <xdr:cNvPr id="82" name="Freeform 18">
              <a:extLst>
                <a:ext uri="{FF2B5EF4-FFF2-40B4-BE49-F238E27FC236}">
                  <a16:creationId xmlns:a16="http://schemas.microsoft.com/office/drawing/2014/main" id="{631E1DA0-5305-249D-B14E-31443186F11B}"/>
                </a:ext>
              </a:extLst>
            </xdr:cNvPr>
            <xdr:cNvSpPr>
              <a:spLocks/>
            </xdr:cNvSpPr>
          </xdr:nvSpPr>
          <xdr:spPr bwMode="auto">
            <a:xfrm>
              <a:off x="320" y="2239"/>
              <a:ext cx="11596" cy="515"/>
            </a:xfrm>
            <a:custGeom>
              <a:avLst/>
              <a:gdLst>
                <a:gd name="T0" fmla="*/ 211 w 11596"/>
                <a:gd name="T1" fmla="*/ 290 h 515"/>
                <a:gd name="T2" fmla="*/ 132 w 11596"/>
                <a:gd name="T3" fmla="*/ 290 h 515"/>
                <a:gd name="T4" fmla="*/ 132 w 11596"/>
                <a:gd name="T5" fmla="*/ 369 h 515"/>
                <a:gd name="T6" fmla="*/ 211 w 11596"/>
                <a:gd name="T7" fmla="*/ 369 h 515"/>
                <a:gd name="T8" fmla="*/ 211 w 11596"/>
                <a:gd name="T9" fmla="*/ 290 h 5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1596" h="515">
                  <a:moveTo>
                    <a:pt x="211" y="290"/>
                  </a:moveTo>
                  <a:lnTo>
                    <a:pt x="132" y="290"/>
                  </a:lnTo>
                  <a:lnTo>
                    <a:pt x="132" y="369"/>
                  </a:lnTo>
                  <a:lnTo>
                    <a:pt x="211" y="369"/>
                  </a:lnTo>
                  <a:lnTo>
                    <a:pt x="211" y="290"/>
                  </a:lnTo>
                  <a:close/>
                </a:path>
              </a:pathLst>
            </a:custGeom>
            <a:solidFill>
              <a:srgbClr val="DBEEF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MX"/>
            </a:p>
          </xdr:txBody>
        </xdr:sp>
        <xdr:sp macro="" textlink="">
          <xdr:nvSpPr>
            <xdr:cNvPr id="83" name="Freeform 19">
              <a:extLst>
                <a:ext uri="{FF2B5EF4-FFF2-40B4-BE49-F238E27FC236}">
                  <a16:creationId xmlns:a16="http://schemas.microsoft.com/office/drawing/2014/main" id="{2FCA703F-3D06-8350-F811-8808F2674A00}"/>
                </a:ext>
              </a:extLst>
            </xdr:cNvPr>
            <xdr:cNvSpPr>
              <a:spLocks/>
            </xdr:cNvSpPr>
          </xdr:nvSpPr>
          <xdr:spPr bwMode="auto">
            <a:xfrm>
              <a:off x="320" y="2239"/>
              <a:ext cx="11596" cy="515"/>
            </a:xfrm>
            <a:custGeom>
              <a:avLst/>
              <a:gdLst>
                <a:gd name="T0" fmla="*/ 211 w 11596"/>
                <a:gd name="T1" fmla="*/ 145 h 515"/>
                <a:gd name="T2" fmla="*/ 132 w 11596"/>
                <a:gd name="T3" fmla="*/ 145 h 515"/>
                <a:gd name="T4" fmla="*/ 132 w 11596"/>
                <a:gd name="T5" fmla="*/ 224 h 515"/>
                <a:gd name="T6" fmla="*/ 211 w 11596"/>
                <a:gd name="T7" fmla="*/ 224 h 515"/>
                <a:gd name="T8" fmla="*/ 211 w 11596"/>
                <a:gd name="T9" fmla="*/ 145 h 5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1596" h="515">
                  <a:moveTo>
                    <a:pt x="211" y="145"/>
                  </a:moveTo>
                  <a:lnTo>
                    <a:pt x="132" y="145"/>
                  </a:lnTo>
                  <a:lnTo>
                    <a:pt x="132" y="224"/>
                  </a:lnTo>
                  <a:lnTo>
                    <a:pt x="211" y="224"/>
                  </a:lnTo>
                  <a:lnTo>
                    <a:pt x="211" y="145"/>
                  </a:lnTo>
                  <a:close/>
                </a:path>
              </a:pathLst>
            </a:custGeom>
            <a:solidFill>
              <a:srgbClr val="DBEEF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MX"/>
            </a:p>
          </xdr:txBody>
        </xdr:sp>
        <xdr:sp macro="" textlink="">
          <xdr:nvSpPr>
            <xdr:cNvPr id="84" name="Freeform 20">
              <a:extLst>
                <a:ext uri="{FF2B5EF4-FFF2-40B4-BE49-F238E27FC236}">
                  <a16:creationId xmlns:a16="http://schemas.microsoft.com/office/drawing/2014/main" id="{893E11F2-7227-A311-D5B5-A5DFAF7BC303}"/>
                </a:ext>
              </a:extLst>
            </xdr:cNvPr>
            <xdr:cNvSpPr>
              <a:spLocks/>
            </xdr:cNvSpPr>
          </xdr:nvSpPr>
          <xdr:spPr bwMode="auto">
            <a:xfrm>
              <a:off x="14" y="694"/>
              <a:ext cx="11596" cy="515"/>
            </a:xfrm>
            <a:custGeom>
              <a:avLst/>
              <a:gdLst>
                <a:gd name="T0" fmla="*/ 211 w 11596"/>
                <a:gd name="T1" fmla="*/ 0 h 515"/>
                <a:gd name="T2" fmla="*/ 132 w 11596"/>
                <a:gd name="T3" fmla="*/ 0 h 515"/>
                <a:gd name="T4" fmla="*/ 132 w 11596"/>
                <a:gd name="T5" fmla="*/ 79 h 515"/>
                <a:gd name="T6" fmla="*/ 211 w 11596"/>
                <a:gd name="T7" fmla="*/ 79 h 515"/>
                <a:gd name="T8" fmla="*/ 211 w 11596"/>
                <a:gd name="T9" fmla="*/ 0 h 5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1596" h="515">
                  <a:moveTo>
                    <a:pt x="211" y="0"/>
                  </a:moveTo>
                  <a:lnTo>
                    <a:pt x="132" y="0"/>
                  </a:lnTo>
                  <a:lnTo>
                    <a:pt x="132" y="79"/>
                  </a:lnTo>
                  <a:lnTo>
                    <a:pt x="211" y="79"/>
                  </a:lnTo>
                  <a:lnTo>
                    <a:pt x="211" y="0"/>
                  </a:lnTo>
                  <a:close/>
                </a:path>
              </a:pathLst>
            </a:custGeom>
            <a:solidFill>
              <a:srgbClr val="DBEEF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MX"/>
            </a:p>
          </xdr:txBody>
        </xdr:sp>
        <xdr:sp macro="" textlink="">
          <xdr:nvSpPr>
            <xdr:cNvPr id="85" name="Freeform 21">
              <a:extLst>
                <a:ext uri="{FF2B5EF4-FFF2-40B4-BE49-F238E27FC236}">
                  <a16:creationId xmlns:a16="http://schemas.microsoft.com/office/drawing/2014/main" id="{44CCB6E7-DE97-78D8-C5FD-2D22142BA913}"/>
                </a:ext>
              </a:extLst>
            </xdr:cNvPr>
            <xdr:cNvSpPr>
              <a:spLocks/>
            </xdr:cNvSpPr>
          </xdr:nvSpPr>
          <xdr:spPr bwMode="auto">
            <a:xfrm>
              <a:off x="320" y="2239"/>
              <a:ext cx="11596" cy="515"/>
            </a:xfrm>
            <a:custGeom>
              <a:avLst/>
              <a:gdLst>
                <a:gd name="T0" fmla="*/ 343 w 11596"/>
                <a:gd name="T1" fmla="*/ 145 h 515"/>
                <a:gd name="T2" fmla="*/ 264 w 11596"/>
                <a:gd name="T3" fmla="*/ 145 h 515"/>
                <a:gd name="T4" fmla="*/ 264 w 11596"/>
                <a:gd name="T5" fmla="*/ 224 h 515"/>
                <a:gd name="T6" fmla="*/ 343 w 11596"/>
                <a:gd name="T7" fmla="*/ 224 h 515"/>
                <a:gd name="T8" fmla="*/ 343 w 11596"/>
                <a:gd name="T9" fmla="*/ 145 h 5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1596" h="515">
                  <a:moveTo>
                    <a:pt x="343" y="145"/>
                  </a:moveTo>
                  <a:lnTo>
                    <a:pt x="264" y="145"/>
                  </a:lnTo>
                  <a:lnTo>
                    <a:pt x="264" y="224"/>
                  </a:lnTo>
                  <a:lnTo>
                    <a:pt x="343" y="224"/>
                  </a:lnTo>
                  <a:lnTo>
                    <a:pt x="343" y="145"/>
                  </a:lnTo>
                  <a:close/>
                </a:path>
              </a:pathLst>
            </a:custGeom>
            <a:solidFill>
              <a:srgbClr val="DBEEF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MX"/>
            </a:p>
          </xdr:txBody>
        </xdr:sp>
        <xdr:sp macro="" textlink="">
          <xdr:nvSpPr>
            <xdr:cNvPr id="86" name="Freeform 22">
              <a:extLst>
                <a:ext uri="{FF2B5EF4-FFF2-40B4-BE49-F238E27FC236}">
                  <a16:creationId xmlns:a16="http://schemas.microsoft.com/office/drawing/2014/main" id="{96873A15-D486-29A5-54CB-E553569B7018}"/>
                </a:ext>
              </a:extLst>
            </xdr:cNvPr>
            <xdr:cNvSpPr>
              <a:spLocks/>
            </xdr:cNvSpPr>
          </xdr:nvSpPr>
          <xdr:spPr bwMode="auto">
            <a:xfrm>
              <a:off x="320" y="2239"/>
              <a:ext cx="11596" cy="515"/>
            </a:xfrm>
            <a:custGeom>
              <a:avLst/>
              <a:gdLst>
                <a:gd name="T0" fmla="*/ 343 w 11596"/>
                <a:gd name="T1" fmla="*/ 0 h 515"/>
                <a:gd name="T2" fmla="*/ 264 w 11596"/>
                <a:gd name="T3" fmla="*/ 0 h 515"/>
                <a:gd name="T4" fmla="*/ 264 w 11596"/>
                <a:gd name="T5" fmla="*/ 79 h 515"/>
                <a:gd name="T6" fmla="*/ 343 w 11596"/>
                <a:gd name="T7" fmla="*/ 79 h 515"/>
                <a:gd name="T8" fmla="*/ 343 w 11596"/>
                <a:gd name="T9" fmla="*/ 0 h 5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1596" h="515">
                  <a:moveTo>
                    <a:pt x="343" y="0"/>
                  </a:moveTo>
                  <a:lnTo>
                    <a:pt x="264" y="0"/>
                  </a:lnTo>
                  <a:lnTo>
                    <a:pt x="264" y="79"/>
                  </a:lnTo>
                  <a:lnTo>
                    <a:pt x="343" y="79"/>
                  </a:lnTo>
                  <a:lnTo>
                    <a:pt x="343" y="0"/>
                  </a:lnTo>
                  <a:close/>
                </a:path>
              </a:pathLst>
            </a:custGeom>
            <a:solidFill>
              <a:srgbClr val="DBEEF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MX"/>
            </a:p>
          </xdr:txBody>
        </xdr:sp>
        <xdr:sp macro="" textlink="">
          <xdr:nvSpPr>
            <xdr:cNvPr id="87" name="Freeform 23">
              <a:extLst>
                <a:ext uri="{FF2B5EF4-FFF2-40B4-BE49-F238E27FC236}">
                  <a16:creationId xmlns:a16="http://schemas.microsoft.com/office/drawing/2014/main" id="{E476FA7F-C23D-A798-04DA-771F1544B86A}"/>
                </a:ext>
              </a:extLst>
            </xdr:cNvPr>
            <xdr:cNvSpPr>
              <a:spLocks/>
            </xdr:cNvSpPr>
          </xdr:nvSpPr>
          <xdr:spPr bwMode="auto">
            <a:xfrm>
              <a:off x="320" y="2239"/>
              <a:ext cx="11596" cy="515"/>
            </a:xfrm>
            <a:custGeom>
              <a:avLst/>
              <a:gdLst>
                <a:gd name="T0" fmla="*/ 475 w 11596"/>
                <a:gd name="T1" fmla="*/ 0 h 515"/>
                <a:gd name="T2" fmla="*/ 396 w 11596"/>
                <a:gd name="T3" fmla="*/ 0 h 515"/>
                <a:gd name="T4" fmla="*/ 396 w 11596"/>
                <a:gd name="T5" fmla="*/ 79 h 515"/>
                <a:gd name="T6" fmla="*/ 475 w 11596"/>
                <a:gd name="T7" fmla="*/ 79 h 515"/>
                <a:gd name="T8" fmla="*/ 475 w 11596"/>
                <a:gd name="T9" fmla="*/ 0 h 5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1596" h="515">
                  <a:moveTo>
                    <a:pt x="475" y="0"/>
                  </a:moveTo>
                  <a:lnTo>
                    <a:pt x="396" y="0"/>
                  </a:lnTo>
                  <a:lnTo>
                    <a:pt x="396" y="79"/>
                  </a:lnTo>
                  <a:lnTo>
                    <a:pt x="475" y="79"/>
                  </a:lnTo>
                  <a:lnTo>
                    <a:pt x="475" y="0"/>
                  </a:lnTo>
                  <a:close/>
                </a:path>
              </a:pathLst>
            </a:custGeom>
            <a:solidFill>
              <a:srgbClr val="DBEEF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MX"/>
            </a:p>
          </xdr:txBody>
        </xdr:sp>
        <xdr:sp macro="" textlink="">
          <xdr:nvSpPr>
            <xdr:cNvPr id="88" name="Freeform 24">
              <a:extLst>
                <a:ext uri="{FF2B5EF4-FFF2-40B4-BE49-F238E27FC236}">
                  <a16:creationId xmlns:a16="http://schemas.microsoft.com/office/drawing/2014/main" id="{1D9CBB29-66A2-80BA-E8DD-FCDE274FBEEF}"/>
                </a:ext>
              </a:extLst>
            </xdr:cNvPr>
            <xdr:cNvSpPr>
              <a:spLocks/>
            </xdr:cNvSpPr>
          </xdr:nvSpPr>
          <xdr:spPr bwMode="auto">
            <a:xfrm>
              <a:off x="320" y="2239"/>
              <a:ext cx="11596" cy="515"/>
            </a:xfrm>
            <a:custGeom>
              <a:avLst/>
              <a:gdLst>
                <a:gd name="T0" fmla="*/ 11199 w 11596"/>
                <a:gd name="T1" fmla="*/ 0 h 515"/>
                <a:gd name="T2" fmla="*/ 11120 w 11596"/>
                <a:gd name="T3" fmla="*/ 0 h 515"/>
                <a:gd name="T4" fmla="*/ 11120 w 11596"/>
                <a:gd name="T5" fmla="*/ 79 h 515"/>
                <a:gd name="T6" fmla="*/ 11199 w 11596"/>
                <a:gd name="T7" fmla="*/ 79 h 515"/>
                <a:gd name="T8" fmla="*/ 11199 w 11596"/>
                <a:gd name="T9" fmla="*/ 0 h 5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1596" h="515">
                  <a:moveTo>
                    <a:pt x="11199" y="0"/>
                  </a:moveTo>
                  <a:lnTo>
                    <a:pt x="11120" y="0"/>
                  </a:lnTo>
                  <a:lnTo>
                    <a:pt x="11120" y="79"/>
                  </a:lnTo>
                  <a:lnTo>
                    <a:pt x="11199" y="79"/>
                  </a:lnTo>
                  <a:lnTo>
                    <a:pt x="11199" y="0"/>
                  </a:lnTo>
                  <a:close/>
                </a:path>
              </a:pathLst>
            </a:custGeom>
            <a:solidFill>
              <a:srgbClr val="DBEEF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MX"/>
            </a:p>
          </xdr:txBody>
        </xdr:sp>
        <xdr:sp macro="" textlink="">
          <xdr:nvSpPr>
            <xdr:cNvPr id="89" name="Freeform 25">
              <a:extLst>
                <a:ext uri="{FF2B5EF4-FFF2-40B4-BE49-F238E27FC236}">
                  <a16:creationId xmlns:a16="http://schemas.microsoft.com/office/drawing/2014/main" id="{2EC439BB-FD94-F682-C544-7F88DC2DC833}"/>
                </a:ext>
              </a:extLst>
            </xdr:cNvPr>
            <xdr:cNvSpPr>
              <a:spLocks/>
            </xdr:cNvSpPr>
          </xdr:nvSpPr>
          <xdr:spPr bwMode="auto">
            <a:xfrm>
              <a:off x="320" y="2239"/>
              <a:ext cx="11596" cy="515"/>
            </a:xfrm>
            <a:custGeom>
              <a:avLst/>
              <a:gdLst>
                <a:gd name="T0" fmla="*/ 11331 w 11596"/>
                <a:gd name="T1" fmla="*/ 145 h 515"/>
                <a:gd name="T2" fmla="*/ 11251 w 11596"/>
                <a:gd name="T3" fmla="*/ 145 h 515"/>
                <a:gd name="T4" fmla="*/ 11251 w 11596"/>
                <a:gd name="T5" fmla="*/ 224 h 515"/>
                <a:gd name="T6" fmla="*/ 11331 w 11596"/>
                <a:gd name="T7" fmla="*/ 224 h 515"/>
                <a:gd name="T8" fmla="*/ 11331 w 11596"/>
                <a:gd name="T9" fmla="*/ 145 h 5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1596" h="515">
                  <a:moveTo>
                    <a:pt x="11331" y="145"/>
                  </a:moveTo>
                  <a:lnTo>
                    <a:pt x="11251" y="145"/>
                  </a:lnTo>
                  <a:lnTo>
                    <a:pt x="11251" y="224"/>
                  </a:lnTo>
                  <a:lnTo>
                    <a:pt x="11331" y="224"/>
                  </a:lnTo>
                  <a:lnTo>
                    <a:pt x="11331" y="145"/>
                  </a:lnTo>
                  <a:close/>
                </a:path>
              </a:pathLst>
            </a:custGeom>
            <a:solidFill>
              <a:srgbClr val="DBEEF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MX"/>
            </a:p>
          </xdr:txBody>
        </xdr:sp>
        <xdr:sp macro="" textlink="">
          <xdr:nvSpPr>
            <xdr:cNvPr id="90" name="Freeform 26">
              <a:extLst>
                <a:ext uri="{FF2B5EF4-FFF2-40B4-BE49-F238E27FC236}">
                  <a16:creationId xmlns:a16="http://schemas.microsoft.com/office/drawing/2014/main" id="{72BAE001-6BFE-6DC6-1FF6-814A1A923A58}"/>
                </a:ext>
              </a:extLst>
            </xdr:cNvPr>
            <xdr:cNvSpPr>
              <a:spLocks/>
            </xdr:cNvSpPr>
          </xdr:nvSpPr>
          <xdr:spPr bwMode="auto">
            <a:xfrm>
              <a:off x="320" y="2239"/>
              <a:ext cx="11596" cy="515"/>
            </a:xfrm>
            <a:custGeom>
              <a:avLst/>
              <a:gdLst>
                <a:gd name="T0" fmla="*/ 11331 w 11596"/>
                <a:gd name="T1" fmla="*/ 0 h 515"/>
                <a:gd name="T2" fmla="*/ 11251 w 11596"/>
                <a:gd name="T3" fmla="*/ 0 h 515"/>
                <a:gd name="T4" fmla="*/ 11251 w 11596"/>
                <a:gd name="T5" fmla="*/ 79 h 515"/>
                <a:gd name="T6" fmla="*/ 11331 w 11596"/>
                <a:gd name="T7" fmla="*/ 79 h 515"/>
                <a:gd name="T8" fmla="*/ 11331 w 11596"/>
                <a:gd name="T9" fmla="*/ 0 h 5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1596" h="515">
                  <a:moveTo>
                    <a:pt x="11331" y="0"/>
                  </a:moveTo>
                  <a:lnTo>
                    <a:pt x="11251" y="0"/>
                  </a:lnTo>
                  <a:lnTo>
                    <a:pt x="11251" y="79"/>
                  </a:lnTo>
                  <a:lnTo>
                    <a:pt x="11331" y="79"/>
                  </a:lnTo>
                  <a:lnTo>
                    <a:pt x="11331" y="0"/>
                  </a:lnTo>
                  <a:close/>
                </a:path>
              </a:pathLst>
            </a:custGeom>
            <a:solidFill>
              <a:srgbClr val="DBEEF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MX"/>
            </a:p>
          </xdr:txBody>
        </xdr:sp>
        <xdr:sp macro="" textlink="">
          <xdr:nvSpPr>
            <xdr:cNvPr id="91" name="Freeform 27">
              <a:extLst>
                <a:ext uri="{FF2B5EF4-FFF2-40B4-BE49-F238E27FC236}">
                  <a16:creationId xmlns:a16="http://schemas.microsoft.com/office/drawing/2014/main" id="{204C8334-120A-CC2D-5653-EEAB2911385D}"/>
                </a:ext>
              </a:extLst>
            </xdr:cNvPr>
            <xdr:cNvSpPr>
              <a:spLocks/>
            </xdr:cNvSpPr>
          </xdr:nvSpPr>
          <xdr:spPr bwMode="auto">
            <a:xfrm>
              <a:off x="320" y="2239"/>
              <a:ext cx="11596" cy="515"/>
            </a:xfrm>
            <a:custGeom>
              <a:avLst/>
              <a:gdLst>
                <a:gd name="T0" fmla="*/ 11463 w 11596"/>
                <a:gd name="T1" fmla="*/ 290 h 515"/>
                <a:gd name="T2" fmla="*/ 11383 w 11596"/>
                <a:gd name="T3" fmla="*/ 290 h 515"/>
                <a:gd name="T4" fmla="*/ 11383 w 11596"/>
                <a:gd name="T5" fmla="*/ 369 h 515"/>
                <a:gd name="T6" fmla="*/ 11463 w 11596"/>
                <a:gd name="T7" fmla="*/ 369 h 515"/>
                <a:gd name="T8" fmla="*/ 11463 w 11596"/>
                <a:gd name="T9" fmla="*/ 290 h 5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1596" h="515">
                  <a:moveTo>
                    <a:pt x="11463" y="290"/>
                  </a:moveTo>
                  <a:lnTo>
                    <a:pt x="11383" y="290"/>
                  </a:lnTo>
                  <a:lnTo>
                    <a:pt x="11383" y="369"/>
                  </a:lnTo>
                  <a:lnTo>
                    <a:pt x="11463" y="369"/>
                  </a:lnTo>
                  <a:lnTo>
                    <a:pt x="11463" y="290"/>
                  </a:lnTo>
                  <a:close/>
                </a:path>
              </a:pathLst>
            </a:custGeom>
            <a:solidFill>
              <a:srgbClr val="DBEEF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MX"/>
            </a:p>
          </xdr:txBody>
        </xdr:sp>
        <xdr:sp macro="" textlink="">
          <xdr:nvSpPr>
            <xdr:cNvPr id="92" name="Freeform 28">
              <a:extLst>
                <a:ext uri="{FF2B5EF4-FFF2-40B4-BE49-F238E27FC236}">
                  <a16:creationId xmlns:a16="http://schemas.microsoft.com/office/drawing/2014/main" id="{2B498BA4-F6F4-B8D2-DD0E-F7BD9F5B68EE}"/>
                </a:ext>
              </a:extLst>
            </xdr:cNvPr>
            <xdr:cNvSpPr>
              <a:spLocks/>
            </xdr:cNvSpPr>
          </xdr:nvSpPr>
          <xdr:spPr bwMode="auto">
            <a:xfrm>
              <a:off x="320" y="2239"/>
              <a:ext cx="11596" cy="515"/>
            </a:xfrm>
            <a:custGeom>
              <a:avLst/>
              <a:gdLst>
                <a:gd name="T0" fmla="*/ 11463 w 11596"/>
                <a:gd name="T1" fmla="*/ 145 h 515"/>
                <a:gd name="T2" fmla="*/ 11383 w 11596"/>
                <a:gd name="T3" fmla="*/ 145 h 515"/>
                <a:gd name="T4" fmla="*/ 11383 w 11596"/>
                <a:gd name="T5" fmla="*/ 224 h 515"/>
                <a:gd name="T6" fmla="*/ 11463 w 11596"/>
                <a:gd name="T7" fmla="*/ 224 h 515"/>
                <a:gd name="T8" fmla="*/ 11463 w 11596"/>
                <a:gd name="T9" fmla="*/ 145 h 5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1596" h="515">
                  <a:moveTo>
                    <a:pt x="11463" y="145"/>
                  </a:moveTo>
                  <a:lnTo>
                    <a:pt x="11383" y="145"/>
                  </a:lnTo>
                  <a:lnTo>
                    <a:pt x="11383" y="224"/>
                  </a:lnTo>
                  <a:lnTo>
                    <a:pt x="11463" y="224"/>
                  </a:lnTo>
                  <a:lnTo>
                    <a:pt x="11463" y="145"/>
                  </a:lnTo>
                  <a:close/>
                </a:path>
              </a:pathLst>
            </a:custGeom>
            <a:solidFill>
              <a:srgbClr val="DBEEF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MX"/>
            </a:p>
          </xdr:txBody>
        </xdr:sp>
        <xdr:sp macro="" textlink="">
          <xdr:nvSpPr>
            <xdr:cNvPr id="93" name="Freeform 29">
              <a:extLst>
                <a:ext uri="{FF2B5EF4-FFF2-40B4-BE49-F238E27FC236}">
                  <a16:creationId xmlns:a16="http://schemas.microsoft.com/office/drawing/2014/main" id="{A6F9D3F7-6EC0-33D3-FCE8-50819CE8F488}"/>
                </a:ext>
              </a:extLst>
            </xdr:cNvPr>
            <xdr:cNvSpPr>
              <a:spLocks/>
            </xdr:cNvSpPr>
          </xdr:nvSpPr>
          <xdr:spPr bwMode="auto">
            <a:xfrm>
              <a:off x="320" y="2239"/>
              <a:ext cx="11596" cy="515"/>
            </a:xfrm>
            <a:custGeom>
              <a:avLst/>
              <a:gdLst>
                <a:gd name="T0" fmla="*/ 11463 w 11596"/>
                <a:gd name="T1" fmla="*/ 0 h 515"/>
                <a:gd name="T2" fmla="*/ 11383 w 11596"/>
                <a:gd name="T3" fmla="*/ 0 h 515"/>
                <a:gd name="T4" fmla="*/ 11383 w 11596"/>
                <a:gd name="T5" fmla="*/ 79 h 515"/>
                <a:gd name="T6" fmla="*/ 11463 w 11596"/>
                <a:gd name="T7" fmla="*/ 79 h 515"/>
                <a:gd name="T8" fmla="*/ 11463 w 11596"/>
                <a:gd name="T9" fmla="*/ 0 h 5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1596" h="515">
                  <a:moveTo>
                    <a:pt x="11463" y="0"/>
                  </a:moveTo>
                  <a:lnTo>
                    <a:pt x="11383" y="0"/>
                  </a:lnTo>
                  <a:lnTo>
                    <a:pt x="11383" y="79"/>
                  </a:lnTo>
                  <a:lnTo>
                    <a:pt x="11463" y="79"/>
                  </a:lnTo>
                  <a:lnTo>
                    <a:pt x="11463" y="0"/>
                  </a:lnTo>
                  <a:close/>
                </a:path>
              </a:pathLst>
            </a:custGeom>
            <a:solidFill>
              <a:srgbClr val="DBEEF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MX"/>
            </a:p>
          </xdr:txBody>
        </xdr:sp>
        <xdr:sp macro="" textlink="">
          <xdr:nvSpPr>
            <xdr:cNvPr id="94" name="Freeform 30">
              <a:extLst>
                <a:ext uri="{FF2B5EF4-FFF2-40B4-BE49-F238E27FC236}">
                  <a16:creationId xmlns:a16="http://schemas.microsoft.com/office/drawing/2014/main" id="{C987D992-47CD-65E0-AAE7-306BBC7C5023}"/>
                </a:ext>
              </a:extLst>
            </xdr:cNvPr>
            <xdr:cNvSpPr>
              <a:spLocks/>
            </xdr:cNvSpPr>
          </xdr:nvSpPr>
          <xdr:spPr bwMode="auto">
            <a:xfrm>
              <a:off x="320" y="2239"/>
              <a:ext cx="11596" cy="515"/>
            </a:xfrm>
            <a:custGeom>
              <a:avLst/>
              <a:gdLst>
                <a:gd name="T0" fmla="*/ 11595 w 11596"/>
                <a:gd name="T1" fmla="*/ 435 h 515"/>
                <a:gd name="T2" fmla="*/ 11516 w 11596"/>
                <a:gd name="T3" fmla="*/ 435 h 515"/>
                <a:gd name="T4" fmla="*/ 11516 w 11596"/>
                <a:gd name="T5" fmla="*/ 514 h 515"/>
                <a:gd name="T6" fmla="*/ 11595 w 11596"/>
                <a:gd name="T7" fmla="*/ 514 h 515"/>
                <a:gd name="T8" fmla="*/ 11595 w 11596"/>
                <a:gd name="T9" fmla="*/ 435 h 5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1596" h="515">
                  <a:moveTo>
                    <a:pt x="11595" y="435"/>
                  </a:moveTo>
                  <a:lnTo>
                    <a:pt x="11516" y="435"/>
                  </a:lnTo>
                  <a:lnTo>
                    <a:pt x="11516" y="514"/>
                  </a:lnTo>
                  <a:lnTo>
                    <a:pt x="11595" y="514"/>
                  </a:lnTo>
                  <a:lnTo>
                    <a:pt x="11595" y="435"/>
                  </a:lnTo>
                  <a:close/>
                </a:path>
              </a:pathLst>
            </a:custGeom>
            <a:solidFill>
              <a:srgbClr val="DBEEF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MX"/>
            </a:p>
          </xdr:txBody>
        </xdr:sp>
        <xdr:sp macro="" textlink="">
          <xdr:nvSpPr>
            <xdr:cNvPr id="95" name="Freeform 31">
              <a:extLst>
                <a:ext uri="{FF2B5EF4-FFF2-40B4-BE49-F238E27FC236}">
                  <a16:creationId xmlns:a16="http://schemas.microsoft.com/office/drawing/2014/main" id="{A91AEE61-D7A5-A26C-2E55-32E3B5C4FF42}"/>
                </a:ext>
              </a:extLst>
            </xdr:cNvPr>
            <xdr:cNvSpPr>
              <a:spLocks/>
            </xdr:cNvSpPr>
          </xdr:nvSpPr>
          <xdr:spPr bwMode="auto">
            <a:xfrm>
              <a:off x="320" y="2239"/>
              <a:ext cx="11596" cy="515"/>
            </a:xfrm>
            <a:custGeom>
              <a:avLst/>
              <a:gdLst>
                <a:gd name="T0" fmla="*/ 11595 w 11596"/>
                <a:gd name="T1" fmla="*/ 290 h 515"/>
                <a:gd name="T2" fmla="*/ 11516 w 11596"/>
                <a:gd name="T3" fmla="*/ 290 h 515"/>
                <a:gd name="T4" fmla="*/ 11516 w 11596"/>
                <a:gd name="T5" fmla="*/ 369 h 515"/>
                <a:gd name="T6" fmla="*/ 11595 w 11596"/>
                <a:gd name="T7" fmla="*/ 369 h 515"/>
                <a:gd name="T8" fmla="*/ 11595 w 11596"/>
                <a:gd name="T9" fmla="*/ 290 h 5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1596" h="515">
                  <a:moveTo>
                    <a:pt x="11595" y="290"/>
                  </a:moveTo>
                  <a:lnTo>
                    <a:pt x="11516" y="290"/>
                  </a:lnTo>
                  <a:lnTo>
                    <a:pt x="11516" y="369"/>
                  </a:lnTo>
                  <a:lnTo>
                    <a:pt x="11595" y="369"/>
                  </a:lnTo>
                  <a:lnTo>
                    <a:pt x="11595" y="290"/>
                  </a:lnTo>
                  <a:close/>
                </a:path>
              </a:pathLst>
            </a:custGeom>
            <a:solidFill>
              <a:srgbClr val="DBEEF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MX"/>
            </a:p>
          </xdr:txBody>
        </xdr:sp>
        <xdr:sp macro="" textlink="">
          <xdr:nvSpPr>
            <xdr:cNvPr id="96" name="Freeform 32">
              <a:extLst>
                <a:ext uri="{FF2B5EF4-FFF2-40B4-BE49-F238E27FC236}">
                  <a16:creationId xmlns:a16="http://schemas.microsoft.com/office/drawing/2014/main" id="{F20F35E2-D418-3B26-CDDD-7C08243BE682}"/>
                </a:ext>
              </a:extLst>
            </xdr:cNvPr>
            <xdr:cNvSpPr>
              <a:spLocks/>
            </xdr:cNvSpPr>
          </xdr:nvSpPr>
          <xdr:spPr bwMode="auto">
            <a:xfrm>
              <a:off x="320" y="2239"/>
              <a:ext cx="11596" cy="515"/>
            </a:xfrm>
            <a:custGeom>
              <a:avLst/>
              <a:gdLst>
                <a:gd name="T0" fmla="*/ 11595 w 11596"/>
                <a:gd name="T1" fmla="*/ 145 h 515"/>
                <a:gd name="T2" fmla="*/ 11516 w 11596"/>
                <a:gd name="T3" fmla="*/ 145 h 515"/>
                <a:gd name="T4" fmla="*/ 11516 w 11596"/>
                <a:gd name="T5" fmla="*/ 224 h 515"/>
                <a:gd name="T6" fmla="*/ 11595 w 11596"/>
                <a:gd name="T7" fmla="*/ 224 h 515"/>
                <a:gd name="T8" fmla="*/ 11595 w 11596"/>
                <a:gd name="T9" fmla="*/ 145 h 5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1596" h="515">
                  <a:moveTo>
                    <a:pt x="11595" y="145"/>
                  </a:moveTo>
                  <a:lnTo>
                    <a:pt x="11516" y="145"/>
                  </a:lnTo>
                  <a:lnTo>
                    <a:pt x="11516" y="224"/>
                  </a:lnTo>
                  <a:lnTo>
                    <a:pt x="11595" y="224"/>
                  </a:lnTo>
                  <a:lnTo>
                    <a:pt x="11595" y="145"/>
                  </a:lnTo>
                  <a:close/>
                </a:path>
              </a:pathLst>
            </a:custGeom>
            <a:solidFill>
              <a:srgbClr val="DBEEF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MX"/>
            </a:p>
          </xdr:txBody>
        </xdr:sp>
        <xdr:sp macro="" textlink="">
          <xdr:nvSpPr>
            <xdr:cNvPr id="97" name="Freeform 33">
              <a:extLst>
                <a:ext uri="{FF2B5EF4-FFF2-40B4-BE49-F238E27FC236}">
                  <a16:creationId xmlns:a16="http://schemas.microsoft.com/office/drawing/2014/main" id="{86654B8F-08EC-08FD-433C-5B68967A3B14}"/>
                </a:ext>
              </a:extLst>
            </xdr:cNvPr>
            <xdr:cNvSpPr>
              <a:spLocks/>
            </xdr:cNvSpPr>
          </xdr:nvSpPr>
          <xdr:spPr bwMode="auto">
            <a:xfrm>
              <a:off x="320" y="2239"/>
              <a:ext cx="11596" cy="515"/>
            </a:xfrm>
            <a:custGeom>
              <a:avLst/>
              <a:gdLst>
                <a:gd name="T0" fmla="*/ 11595 w 11596"/>
                <a:gd name="T1" fmla="*/ 0 h 515"/>
                <a:gd name="T2" fmla="*/ 11516 w 11596"/>
                <a:gd name="T3" fmla="*/ 0 h 515"/>
                <a:gd name="T4" fmla="*/ 11516 w 11596"/>
                <a:gd name="T5" fmla="*/ 79 h 515"/>
                <a:gd name="T6" fmla="*/ 11595 w 11596"/>
                <a:gd name="T7" fmla="*/ 79 h 515"/>
                <a:gd name="T8" fmla="*/ 11595 w 11596"/>
                <a:gd name="T9" fmla="*/ 0 h 5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1596" h="515">
                  <a:moveTo>
                    <a:pt x="11595" y="0"/>
                  </a:moveTo>
                  <a:lnTo>
                    <a:pt x="11516" y="0"/>
                  </a:lnTo>
                  <a:lnTo>
                    <a:pt x="11516" y="79"/>
                  </a:lnTo>
                  <a:lnTo>
                    <a:pt x="11595" y="79"/>
                  </a:lnTo>
                  <a:lnTo>
                    <a:pt x="11595" y="0"/>
                  </a:lnTo>
                  <a:close/>
                </a:path>
              </a:pathLst>
            </a:custGeom>
            <a:solidFill>
              <a:srgbClr val="DBEEF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s-MX"/>
            </a:p>
          </xdr:txBody>
        </xdr:sp>
      </xdr:grpSp>
      <xdr:sp macro="" textlink="">
        <xdr:nvSpPr>
          <xdr:cNvPr id="63" name="Freeform 34">
            <a:extLst>
              <a:ext uri="{FF2B5EF4-FFF2-40B4-BE49-F238E27FC236}">
                <a16:creationId xmlns:a16="http://schemas.microsoft.com/office/drawing/2014/main" id="{D1E0CF99-786E-416B-AA37-DE578C2950CA}"/>
              </a:ext>
            </a:extLst>
          </xdr:cNvPr>
          <xdr:cNvSpPr>
            <a:spLocks/>
          </xdr:cNvSpPr>
        </xdr:nvSpPr>
        <xdr:spPr bwMode="auto">
          <a:xfrm>
            <a:off x="0" y="568"/>
            <a:ext cx="11760" cy="13440"/>
          </a:xfrm>
          <a:custGeom>
            <a:avLst/>
            <a:gdLst>
              <a:gd name="T0" fmla="*/ 0 w 11760"/>
              <a:gd name="T1" fmla="*/ 11760 h 13440"/>
              <a:gd name="T2" fmla="*/ 0 w 11760"/>
              <a:gd name="T3" fmla="*/ 0 h 13440"/>
              <a:gd name="T4" fmla="*/ 11760 w 11760"/>
              <a:gd name="T5" fmla="*/ 0 h 13440"/>
              <a:gd name="T6" fmla="*/ 11760 w 11760"/>
              <a:gd name="T7" fmla="*/ 13440 h 13440"/>
              <a:gd name="T8" fmla="*/ 1560 w 11760"/>
              <a:gd name="T9" fmla="*/ 13440 h 13440"/>
              <a:gd name="T10" fmla="*/ 0 w 11760"/>
              <a:gd name="T11" fmla="*/ 11760 h 134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11760" h="13440">
                <a:moveTo>
                  <a:pt x="0" y="11760"/>
                </a:moveTo>
                <a:lnTo>
                  <a:pt x="0" y="0"/>
                </a:lnTo>
                <a:lnTo>
                  <a:pt x="11760" y="0"/>
                </a:lnTo>
                <a:lnTo>
                  <a:pt x="11760" y="13440"/>
                </a:lnTo>
                <a:lnTo>
                  <a:pt x="1560" y="13440"/>
                </a:lnTo>
                <a:lnTo>
                  <a:pt x="0" y="11760"/>
                </a:lnTo>
                <a:close/>
              </a:path>
            </a:pathLst>
          </a:custGeom>
          <a:noFill/>
          <a:ln w="6350">
            <a:solidFill>
              <a:srgbClr val="55ACE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MX"/>
          </a:p>
        </xdr:txBody>
      </xdr:sp>
      <xdr:sp macro="" textlink="">
        <xdr:nvSpPr>
          <xdr:cNvPr id="64" name="Freeform 35">
            <a:extLst>
              <a:ext uri="{FF2B5EF4-FFF2-40B4-BE49-F238E27FC236}">
                <a16:creationId xmlns:a16="http://schemas.microsoft.com/office/drawing/2014/main" id="{299ACD8C-2F38-9EBF-B253-BF9BE5294DE2}"/>
              </a:ext>
            </a:extLst>
          </xdr:cNvPr>
          <xdr:cNvSpPr>
            <a:spLocks/>
          </xdr:cNvSpPr>
        </xdr:nvSpPr>
        <xdr:spPr bwMode="auto">
          <a:xfrm>
            <a:off x="11430" y="13510"/>
            <a:ext cx="240" cy="917"/>
          </a:xfrm>
          <a:custGeom>
            <a:avLst/>
            <a:gdLst>
              <a:gd name="T0" fmla="*/ 240 w 240"/>
              <a:gd name="T1" fmla="*/ 0 h 917"/>
              <a:gd name="T2" fmla="*/ 0 w 240"/>
              <a:gd name="T3" fmla="*/ 0 h 917"/>
              <a:gd name="T4" fmla="*/ 0 w 240"/>
              <a:gd name="T5" fmla="*/ 916 h 917"/>
              <a:gd name="T6" fmla="*/ 240 w 240"/>
              <a:gd name="T7" fmla="*/ 916 h 917"/>
              <a:gd name="T8" fmla="*/ 240 w 240"/>
              <a:gd name="T9" fmla="*/ 0 h 9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40" h="917">
                <a:moveTo>
                  <a:pt x="240" y="0"/>
                </a:moveTo>
                <a:lnTo>
                  <a:pt x="0" y="0"/>
                </a:lnTo>
                <a:lnTo>
                  <a:pt x="0" y="916"/>
                </a:lnTo>
                <a:lnTo>
                  <a:pt x="240" y="916"/>
                </a:lnTo>
                <a:lnTo>
                  <a:pt x="240" y="0"/>
                </a:lnTo>
                <a:close/>
              </a:path>
            </a:pathLst>
          </a:custGeom>
          <a:solidFill>
            <a:srgbClr val="1D63A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MX"/>
          </a:p>
        </xdr:txBody>
      </xdr:sp>
      <xdr:sp macro="" textlink="">
        <xdr:nvSpPr>
          <xdr:cNvPr id="65" name="Freeform 36">
            <a:extLst>
              <a:ext uri="{FF2B5EF4-FFF2-40B4-BE49-F238E27FC236}">
                <a16:creationId xmlns:a16="http://schemas.microsoft.com/office/drawing/2014/main" id="{44C8B676-272E-FA19-B588-E1D5B8EDD0DF}"/>
              </a:ext>
            </a:extLst>
          </xdr:cNvPr>
          <xdr:cNvSpPr>
            <a:spLocks/>
          </xdr:cNvSpPr>
        </xdr:nvSpPr>
        <xdr:spPr bwMode="auto">
          <a:xfrm>
            <a:off x="11430" y="14426"/>
            <a:ext cx="240" cy="844"/>
          </a:xfrm>
          <a:custGeom>
            <a:avLst/>
            <a:gdLst>
              <a:gd name="T0" fmla="*/ 240 w 240"/>
              <a:gd name="T1" fmla="*/ 0 h 844"/>
              <a:gd name="T2" fmla="*/ 0 w 240"/>
              <a:gd name="T3" fmla="*/ 0 h 844"/>
              <a:gd name="T4" fmla="*/ 0 w 240"/>
              <a:gd name="T5" fmla="*/ 843 h 844"/>
              <a:gd name="T6" fmla="*/ 240 w 240"/>
              <a:gd name="T7" fmla="*/ 843 h 844"/>
              <a:gd name="T8" fmla="*/ 240 w 240"/>
              <a:gd name="T9" fmla="*/ 0 h 84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40" h="844">
                <a:moveTo>
                  <a:pt x="240" y="0"/>
                </a:moveTo>
                <a:lnTo>
                  <a:pt x="0" y="0"/>
                </a:lnTo>
                <a:lnTo>
                  <a:pt x="0" y="843"/>
                </a:lnTo>
                <a:lnTo>
                  <a:pt x="240" y="843"/>
                </a:lnTo>
                <a:lnTo>
                  <a:pt x="240" y="0"/>
                </a:lnTo>
                <a:close/>
              </a:path>
            </a:pathLst>
          </a:custGeom>
          <a:solidFill>
            <a:srgbClr val="FFF2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MX"/>
          </a:p>
        </xdr:txBody>
      </xdr:sp>
      <xdr:sp macro="" textlink="">
        <xdr:nvSpPr>
          <xdr:cNvPr id="66" name="Freeform 37">
            <a:extLst>
              <a:ext uri="{FF2B5EF4-FFF2-40B4-BE49-F238E27FC236}">
                <a16:creationId xmlns:a16="http://schemas.microsoft.com/office/drawing/2014/main" id="{A1743809-0549-BD2E-4217-001232CD97D7}"/>
              </a:ext>
            </a:extLst>
          </xdr:cNvPr>
          <xdr:cNvSpPr>
            <a:spLocks/>
          </xdr:cNvSpPr>
        </xdr:nvSpPr>
        <xdr:spPr bwMode="auto">
          <a:xfrm>
            <a:off x="600" y="13840"/>
            <a:ext cx="10337" cy="1"/>
          </a:xfrm>
          <a:custGeom>
            <a:avLst/>
            <a:gdLst>
              <a:gd name="T0" fmla="*/ 0 w 10337"/>
              <a:gd name="T1" fmla="*/ 0 h 1"/>
              <a:gd name="T2" fmla="*/ 10336 w 10337"/>
              <a:gd name="T3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0337" h="1">
                <a:moveTo>
                  <a:pt x="0" y="0"/>
                </a:moveTo>
                <a:lnTo>
                  <a:pt x="10336" y="0"/>
                </a:lnTo>
              </a:path>
            </a:pathLst>
          </a:custGeom>
          <a:noFill/>
          <a:ln w="6350">
            <a:solidFill>
              <a:srgbClr val="55ACE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MX"/>
          </a:p>
        </xdr:txBody>
      </xdr:sp>
      <xdr:sp macro="" textlink="">
        <xdr:nvSpPr>
          <xdr:cNvPr id="67" name="Freeform 38">
            <a:extLst>
              <a:ext uri="{FF2B5EF4-FFF2-40B4-BE49-F238E27FC236}">
                <a16:creationId xmlns:a16="http://schemas.microsoft.com/office/drawing/2014/main" id="{2B7D38B6-0321-43AA-17F6-834F09F39F23}"/>
              </a:ext>
            </a:extLst>
          </xdr:cNvPr>
          <xdr:cNvSpPr>
            <a:spLocks/>
          </xdr:cNvSpPr>
        </xdr:nvSpPr>
        <xdr:spPr bwMode="auto">
          <a:xfrm>
            <a:off x="1100" y="14465"/>
            <a:ext cx="9837" cy="1"/>
          </a:xfrm>
          <a:custGeom>
            <a:avLst/>
            <a:gdLst>
              <a:gd name="T0" fmla="*/ 0 w 9837"/>
              <a:gd name="T1" fmla="*/ 0 h 1"/>
              <a:gd name="T2" fmla="*/ 9836 w 9837"/>
              <a:gd name="T3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9837" h="1">
                <a:moveTo>
                  <a:pt x="0" y="0"/>
                </a:moveTo>
                <a:lnTo>
                  <a:pt x="9836" y="0"/>
                </a:lnTo>
              </a:path>
            </a:pathLst>
          </a:custGeom>
          <a:noFill/>
          <a:ln w="6350">
            <a:solidFill>
              <a:srgbClr val="55ACE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MX"/>
          </a:p>
        </xdr:txBody>
      </xdr:sp>
      <xdr:sp macro="" textlink="">
        <xdr:nvSpPr>
          <xdr:cNvPr id="68" name="Freeform 39">
            <a:extLst>
              <a:ext uri="{FF2B5EF4-FFF2-40B4-BE49-F238E27FC236}">
                <a16:creationId xmlns:a16="http://schemas.microsoft.com/office/drawing/2014/main" id="{65AD5C1E-E4D6-8381-B211-E0B37CFF439A}"/>
              </a:ext>
            </a:extLst>
          </xdr:cNvPr>
          <xdr:cNvSpPr>
            <a:spLocks/>
          </xdr:cNvSpPr>
        </xdr:nvSpPr>
        <xdr:spPr bwMode="auto">
          <a:xfrm>
            <a:off x="1760" y="15065"/>
            <a:ext cx="9177" cy="1"/>
          </a:xfrm>
          <a:custGeom>
            <a:avLst/>
            <a:gdLst>
              <a:gd name="T0" fmla="*/ 0 w 9177"/>
              <a:gd name="T1" fmla="*/ 0 h 1"/>
              <a:gd name="T2" fmla="*/ 9176 w 9177"/>
              <a:gd name="T3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9177" h="1">
                <a:moveTo>
                  <a:pt x="0" y="0"/>
                </a:moveTo>
                <a:lnTo>
                  <a:pt x="9176" y="0"/>
                </a:lnTo>
              </a:path>
            </a:pathLst>
          </a:custGeom>
          <a:noFill/>
          <a:ln w="6350">
            <a:solidFill>
              <a:srgbClr val="55ACE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MX"/>
          </a:p>
        </xdr:txBody>
      </xdr:sp>
      <xdr:pic>
        <xdr:nvPicPr>
          <xdr:cNvPr id="69" name="Picture 40">
            <a:extLst>
              <a:ext uri="{FF2B5EF4-FFF2-40B4-BE49-F238E27FC236}">
                <a16:creationId xmlns:a16="http://schemas.microsoft.com/office/drawing/2014/main" id="{9C7E15EE-E3FC-374D-65BE-0770AE58EF8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590" y="7081"/>
            <a:ext cx="2440" cy="8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0" name="Freeform 41">
            <a:extLst>
              <a:ext uri="{FF2B5EF4-FFF2-40B4-BE49-F238E27FC236}">
                <a16:creationId xmlns:a16="http://schemas.microsoft.com/office/drawing/2014/main" id="{3C71F98B-DD48-0CD6-E69A-29DF9E16F1AE}"/>
              </a:ext>
            </a:extLst>
          </xdr:cNvPr>
          <xdr:cNvSpPr>
            <a:spLocks/>
          </xdr:cNvSpPr>
        </xdr:nvSpPr>
        <xdr:spPr bwMode="auto">
          <a:xfrm>
            <a:off x="888" y="5292"/>
            <a:ext cx="8060" cy="1"/>
          </a:xfrm>
          <a:custGeom>
            <a:avLst/>
            <a:gdLst>
              <a:gd name="T0" fmla="*/ 0 w 8060"/>
              <a:gd name="T1" fmla="*/ 0 h 1"/>
              <a:gd name="T2" fmla="*/ 8060 w 8060"/>
              <a:gd name="T3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8060" h="1">
                <a:moveTo>
                  <a:pt x="0" y="0"/>
                </a:moveTo>
                <a:lnTo>
                  <a:pt x="8060" y="0"/>
                </a:lnTo>
              </a:path>
            </a:pathLst>
          </a:custGeom>
          <a:noFill/>
          <a:ln w="12700">
            <a:solidFill>
              <a:srgbClr val="55ACE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MX"/>
          </a:p>
        </xdr:txBody>
      </xdr:sp>
      <xdr:sp macro="" textlink="">
        <xdr:nvSpPr>
          <xdr:cNvPr id="71" name="Freeform 42">
            <a:extLst>
              <a:ext uri="{FF2B5EF4-FFF2-40B4-BE49-F238E27FC236}">
                <a16:creationId xmlns:a16="http://schemas.microsoft.com/office/drawing/2014/main" id="{2636ECB6-1B9E-7BED-47EC-44229019B0C1}"/>
              </a:ext>
            </a:extLst>
          </xdr:cNvPr>
          <xdr:cNvSpPr>
            <a:spLocks/>
          </xdr:cNvSpPr>
        </xdr:nvSpPr>
        <xdr:spPr bwMode="auto">
          <a:xfrm>
            <a:off x="2090" y="7555"/>
            <a:ext cx="1" cy="90"/>
          </a:xfrm>
          <a:custGeom>
            <a:avLst/>
            <a:gdLst>
              <a:gd name="T0" fmla="*/ 0 w 1"/>
              <a:gd name="T1" fmla="*/ 0 h 90"/>
              <a:gd name="T2" fmla="*/ 0 w 1"/>
              <a:gd name="T3" fmla="*/ 90 h 90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" h="90">
                <a:moveTo>
                  <a:pt x="0" y="0"/>
                </a:moveTo>
                <a:lnTo>
                  <a:pt x="0" y="90"/>
                </a:lnTo>
              </a:path>
            </a:pathLst>
          </a:custGeom>
          <a:noFill/>
          <a:ln w="12700">
            <a:solidFill>
              <a:srgbClr val="55ACE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MX"/>
          </a:p>
        </xdr:txBody>
      </xdr:sp>
      <xdr:sp macro="" textlink="">
        <xdr:nvSpPr>
          <xdr:cNvPr id="72" name="Freeform 43">
            <a:extLst>
              <a:ext uri="{FF2B5EF4-FFF2-40B4-BE49-F238E27FC236}">
                <a16:creationId xmlns:a16="http://schemas.microsoft.com/office/drawing/2014/main" id="{A0787CD8-6755-784E-F572-579C1284FDCF}"/>
              </a:ext>
            </a:extLst>
          </xdr:cNvPr>
          <xdr:cNvSpPr>
            <a:spLocks/>
          </xdr:cNvSpPr>
        </xdr:nvSpPr>
        <xdr:spPr bwMode="auto">
          <a:xfrm>
            <a:off x="10150" y="7555"/>
            <a:ext cx="1" cy="90"/>
          </a:xfrm>
          <a:custGeom>
            <a:avLst/>
            <a:gdLst>
              <a:gd name="T0" fmla="*/ 0 w 1"/>
              <a:gd name="T1" fmla="*/ 0 h 90"/>
              <a:gd name="T2" fmla="*/ 0 w 1"/>
              <a:gd name="T3" fmla="*/ 90 h 90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" h="90">
                <a:moveTo>
                  <a:pt x="0" y="0"/>
                </a:moveTo>
                <a:lnTo>
                  <a:pt x="0" y="90"/>
                </a:lnTo>
              </a:path>
            </a:pathLst>
          </a:custGeom>
          <a:noFill/>
          <a:ln w="12700">
            <a:solidFill>
              <a:srgbClr val="55ACE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MX"/>
          </a:p>
        </xdr:txBody>
      </xdr:sp>
      <xdr:sp macro="" textlink="">
        <xdr:nvSpPr>
          <xdr:cNvPr id="73" name="Freeform 44">
            <a:extLst>
              <a:ext uri="{FF2B5EF4-FFF2-40B4-BE49-F238E27FC236}">
                <a16:creationId xmlns:a16="http://schemas.microsoft.com/office/drawing/2014/main" id="{D2FA2909-62DF-F835-66D4-1AD95101CA5A}"/>
              </a:ext>
            </a:extLst>
          </xdr:cNvPr>
          <xdr:cNvSpPr>
            <a:spLocks/>
          </xdr:cNvSpPr>
        </xdr:nvSpPr>
        <xdr:spPr bwMode="auto">
          <a:xfrm>
            <a:off x="161" y="0"/>
            <a:ext cx="2269" cy="1623"/>
          </a:xfrm>
          <a:custGeom>
            <a:avLst/>
            <a:gdLst>
              <a:gd name="T0" fmla="*/ 809 w 2269"/>
              <a:gd name="T1" fmla="*/ 0 h 1623"/>
              <a:gd name="T2" fmla="*/ 0 w 2269"/>
              <a:gd name="T3" fmla="*/ 0 h 1623"/>
              <a:gd name="T4" fmla="*/ 1458 w 2269"/>
              <a:gd name="T5" fmla="*/ 1622 h 1623"/>
              <a:gd name="T6" fmla="*/ 2268 w 2269"/>
              <a:gd name="T7" fmla="*/ 1622 h 1623"/>
              <a:gd name="T8" fmla="*/ 809 w 2269"/>
              <a:gd name="T9" fmla="*/ 0 h 162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269" h="1623">
                <a:moveTo>
                  <a:pt x="809" y="0"/>
                </a:moveTo>
                <a:lnTo>
                  <a:pt x="0" y="0"/>
                </a:lnTo>
                <a:lnTo>
                  <a:pt x="1458" y="1622"/>
                </a:lnTo>
                <a:lnTo>
                  <a:pt x="2268" y="1622"/>
                </a:lnTo>
                <a:lnTo>
                  <a:pt x="809" y="0"/>
                </a:lnTo>
                <a:close/>
              </a:path>
            </a:pathLst>
          </a:custGeom>
          <a:solidFill>
            <a:srgbClr val="F3F4F4">
              <a:alpha val="50000"/>
            </a:srgb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MX"/>
          </a:p>
        </xdr:txBody>
      </xdr:sp>
      <xdr:sp macro="" textlink="">
        <xdr:nvSpPr>
          <xdr:cNvPr id="74" name="Freeform 45">
            <a:extLst>
              <a:ext uri="{FF2B5EF4-FFF2-40B4-BE49-F238E27FC236}">
                <a16:creationId xmlns:a16="http://schemas.microsoft.com/office/drawing/2014/main" id="{8A39E7CB-5686-5050-80CA-5FECB57ED65A}"/>
              </a:ext>
            </a:extLst>
          </xdr:cNvPr>
          <xdr:cNvSpPr>
            <a:spLocks/>
          </xdr:cNvSpPr>
        </xdr:nvSpPr>
        <xdr:spPr bwMode="auto">
          <a:xfrm>
            <a:off x="0" y="740"/>
            <a:ext cx="2105" cy="1410"/>
          </a:xfrm>
          <a:custGeom>
            <a:avLst/>
            <a:gdLst>
              <a:gd name="T0" fmla="*/ 0 w 2105"/>
              <a:gd name="T1" fmla="*/ 0 h 1410"/>
              <a:gd name="T2" fmla="*/ 4 w 2105"/>
              <a:gd name="T3" fmla="*/ 445 h 1410"/>
              <a:gd name="T4" fmla="*/ 882 w 2105"/>
              <a:gd name="T5" fmla="*/ 1409 h 1410"/>
              <a:gd name="T6" fmla="*/ 2104 w 2105"/>
              <a:gd name="T7" fmla="*/ 1409 h 1410"/>
              <a:gd name="T8" fmla="*/ 1619 w 2105"/>
              <a:gd name="T9" fmla="*/ 882 h 1410"/>
              <a:gd name="T10" fmla="*/ 793 w 2105"/>
              <a:gd name="T11" fmla="*/ 882 h 1410"/>
              <a:gd name="T12" fmla="*/ 0 w 2105"/>
              <a:gd name="T13" fmla="*/ 0 h 14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2105" h="1410">
                <a:moveTo>
                  <a:pt x="0" y="0"/>
                </a:moveTo>
                <a:lnTo>
                  <a:pt x="4" y="445"/>
                </a:lnTo>
                <a:lnTo>
                  <a:pt x="882" y="1409"/>
                </a:lnTo>
                <a:lnTo>
                  <a:pt x="2104" y="1409"/>
                </a:lnTo>
                <a:lnTo>
                  <a:pt x="1619" y="882"/>
                </a:lnTo>
                <a:lnTo>
                  <a:pt x="793" y="882"/>
                </a:lnTo>
                <a:lnTo>
                  <a:pt x="0" y="0"/>
                </a:lnTo>
                <a:close/>
              </a:path>
            </a:pathLst>
          </a:custGeom>
          <a:solidFill>
            <a:srgbClr val="D1D3D4">
              <a:alpha val="50000"/>
            </a:srgb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MX"/>
          </a:p>
        </xdr:txBody>
      </xdr:sp>
      <xdr:sp macro="" textlink="">
        <xdr:nvSpPr>
          <xdr:cNvPr id="75" name="Freeform 46">
            <a:extLst>
              <a:ext uri="{FF2B5EF4-FFF2-40B4-BE49-F238E27FC236}">
                <a16:creationId xmlns:a16="http://schemas.microsoft.com/office/drawing/2014/main" id="{FEA26559-9930-88A3-EC9F-8A06B57F0C97}"/>
              </a:ext>
            </a:extLst>
          </xdr:cNvPr>
          <xdr:cNvSpPr>
            <a:spLocks/>
          </xdr:cNvSpPr>
        </xdr:nvSpPr>
        <xdr:spPr bwMode="auto">
          <a:xfrm>
            <a:off x="0" y="0"/>
            <a:ext cx="1621" cy="1623"/>
          </a:xfrm>
          <a:custGeom>
            <a:avLst/>
            <a:gdLst>
              <a:gd name="T0" fmla="*/ 161 w 1621"/>
              <a:gd name="T1" fmla="*/ 0 h 1623"/>
              <a:gd name="T2" fmla="*/ 0 w 1621"/>
              <a:gd name="T3" fmla="*/ 0 h 1623"/>
              <a:gd name="T4" fmla="*/ 0 w 1621"/>
              <a:gd name="T5" fmla="*/ 740 h 1623"/>
              <a:gd name="T6" fmla="*/ 794 w 1621"/>
              <a:gd name="T7" fmla="*/ 1622 h 1623"/>
              <a:gd name="T8" fmla="*/ 1620 w 1621"/>
              <a:gd name="T9" fmla="*/ 1622 h 1623"/>
              <a:gd name="T10" fmla="*/ 161 w 1621"/>
              <a:gd name="T11" fmla="*/ 0 h 162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1621" h="1623">
                <a:moveTo>
                  <a:pt x="161" y="0"/>
                </a:moveTo>
                <a:lnTo>
                  <a:pt x="0" y="0"/>
                </a:lnTo>
                <a:lnTo>
                  <a:pt x="0" y="740"/>
                </a:lnTo>
                <a:lnTo>
                  <a:pt x="794" y="1622"/>
                </a:lnTo>
                <a:lnTo>
                  <a:pt x="1620" y="1622"/>
                </a:lnTo>
                <a:lnTo>
                  <a:pt x="161" y="0"/>
                </a:lnTo>
                <a:close/>
              </a:path>
            </a:pathLst>
          </a:custGeom>
          <a:solidFill>
            <a:srgbClr val="E6E7E8">
              <a:alpha val="50000"/>
            </a:srgb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MX"/>
          </a:p>
        </xdr:txBody>
      </xdr:sp>
      <xdr:sp macro="" textlink="">
        <xdr:nvSpPr>
          <xdr:cNvPr id="76" name="Freeform 47">
            <a:extLst>
              <a:ext uri="{FF2B5EF4-FFF2-40B4-BE49-F238E27FC236}">
                <a16:creationId xmlns:a16="http://schemas.microsoft.com/office/drawing/2014/main" id="{47F15CD1-5B2F-709E-368B-10BE82170788}"/>
              </a:ext>
            </a:extLst>
          </xdr:cNvPr>
          <xdr:cNvSpPr>
            <a:spLocks/>
          </xdr:cNvSpPr>
        </xdr:nvSpPr>
        <xdr:spPr bwMode="auto">
          <a:xfrm>
            <a:off x="1652" y="0"/>
            <a:ext cx="4301" cy="500"/>
          </a:xfrm>
          <a:custGeom>
            <a:avLst/>
            <a:gdLst>
              <a:gd name="T0" fmla="*/ 4300 w 4301"/>
              <a:gd name="T1" fmla="*/ 0 h 500"/>
              <a:gd name="T2" fmla="*/ 0 w 4301"/>
              <a:gd name="T3" fmla="*/ 0 h 500"/>
              <a:gd name="T4" fmla="*/ 547 w 4301"/>
              <a:gd name="T5" fmla="*/ 500 h 500"/>
              <a:gd name="T6" fmla="*/ 3648 w 4301"/>
              <a:gd name="T7" fmla="*/ 500 h 500"/>
              <a:gd name="T8" fmla="*/ 4300 w 4301"/>
              <a:gd name="T9" fmla="*/ 0 h 5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4301" h="500">
                <a:moveTo>
                  <a:pt x="4300" y="0"/>
                </a:moveTo>
                <a:lnTo>
                  <a:pt x="0" y="0"/>
                </a:lnTo>
                <a:lnTo>
                  <a:pt x="547" y="500"/>
                </a:lnTo>
                <a:lnTo>
                  <a:pt x="3648" y="500"/>
                </a:lnTo>
                <a:lnTo>
                  <a:pt x="4300" y="0"/>
                </a:lnTo>
                <a:close/>
              </a:path>
            </a:pathLst>
          </a:custGeom>
          <a:solidFill>
            <a:srgbClr val="1D63A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MX"/>
          </a:p>
        </xdr:txBody>
      </xdr:sp>
      <xdr:sp macro="" textlink="">
        <xdr:nvSpPr>
          <xdr:cNvPr id="77" name="Freeform 48">
            <a:extLst>
              <a:ext uri="{FF2B5EF4-FFF2-40B4-BE49-F238E27FC236}">
                <a16:creationId xmlns:a16="http://schemas.microsoft.com/office/drawing/2014/main" id="{92CB92A3-2C7F-D730-1F7D-8B421DB5D1D8}"/>
              </a:ext>
            </a:extLst>
          </xdr:cNvPr>
          <xdr:cNvSpPr>
            <a:spLocks/>
          </xdr:cNvSpPr>
        </xdr:nvSpPr>
        <xdr:spPr bwMode="auto">
          <a:xfrm>
            <a:off x="5300" y="0"/>
            <a:ext cx="6940" cy="500"/>
          </a:xfrm>
          <a:custGeom>
            <a:avLst/>
            <a:gdLst>
              <a:gd name="T0" fmla="*/ 6939 w 6940"/>
              <a:gd name="T1" fmla="*/ 0 h 500"/>
              <a:gd name="T2" fmla="*/ 652 w 6940"/>
              <a:gd name="T3" fmla="*/ 0 h 500"/>
              <a:gd name="T4" fmla="*/ 0 w 6940"/>
              <a:gd name="T5" fmla="*/ 500 h 500"/>
              <a:gd name="T6" fmla="*/ 6939 w 6940"/>
              <a:gd name="T7" fmla="*/ 500 h 500"/>
              <a:gd name="T8" fmla="*/ 6939 w 6940"/>
              <a:gd name="T9" fmla="*/ 0 h 5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6940" h="500">
                <a:moveTo>
                  <a:pt x="6939" y="0"/>
                </a:moveTo>
                <a:lnTo>
                  <a:pt x="652" y="0"/>
                </a:lnTo>
                <a:lnTo>
                  <a:pt x="0" y="500"/>
                </a:lnTo>
                <a:lnTo>
                  <a:pt x="6939" y="500"/>
                </a:lnTo>
                <a:lnTo>
                  <a:pt x="6939" y="0"/>
                </a:lnTo>
                <a:close/>
              </a:path>
            </a:pathLst>
          </a:custGeom>
          <a:solidFill>
            <a:srgbClr val="55AC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s-MX"/>
          </a:p>
        </xdr:txBody>
      </xdr:sp>
    </xdr:grpSp>
    <xdr:clientData/>
  </xdr:twoCellAnchor>
  <xdr:twoCellAnchor>
    <xdr:from>
      <xdr:col>0</xdr:col>
      <xdr:colOff>147638</xdr:colOff>
      <xdr:row>1</xdr:row>
      <xdr:rowOff>119061</xdr:rowOff>
    </xdr:from>
    <xdr:to>
      <xdr:col>3</xdr:col>
      <xdr:colOff>319088</xdr:colOff>
      <xdr:row>3</xdr:row>
      <xdr:rowOff>119061</xdr:rowOff>
    </xdr:to>
    <xdr:pic>
      <xdr:nvPicPr>
        <xdr:cNvPr id="98" name="Imagen 2">
          <a:extLst>
            <a:ext uri="{FF2B5EF4-FFF2-40B4-BE49-F238E27FC236}">
              <a16:creationId xmlns:a16="http://schemas.microsoft.com/office/drawing/2014/main" id="{259CDC70-F6C1-CB3B-B122-473D9E1C3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8" y="300036"/>
          <a:ext cx="24574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671512</xdr:colOff>
      <xdr:row>1</xdr:row>
      <xdr:rowOff>152400</xdr:rowOff>
    </xdr:from>
    <xdr:to>
      <xdr:col>6</xdr:col>
      <xdr:colOff>719137</xdr:colOff>
      <xdr:row>3</xdr:row>
      <xdr:rowOff>161925</xdr:rowOff>
    </xdr:to>
    <xdr:pic>
      <xdr:nvPicPr>
        <xdr:cNvPr id="99" name="Imagen 1">
          <a:extLst>
            <a:ext uri="{FF2B5EF4-FFF2-40B4-BE49-F238E27FC236}">
              <a16:creationId xmlns:a16="http://schemas.microsoft.com/office/drawing/2014/main" id="{C27609D2-26FC-D248-8AFD-727EA941E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7512" y="333375"/>
          <a:ext cx="23336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152A3-4FE2-4BA1-A5C1-8014AD096B9E}" name="Tabla1" displayName="Tabla1" ref="A1:G8" totalsRowShown="0" headerRowDxfId="0" dataDxfId="1">
  <tableColumns count="7">
    <tableColumn id="1" xr3:uid="{2E3A74A3-88BC-4C3B-B250-E57E0C7CB64F}" name="Actividad" dataDxfId="8"/>
    <tableColumn id="2" xr3:uid="{1B830DB6-AFF4-430C-9FBD-CD8DECEB1794}" name="Módulo del Sistema" dataDxfId="7"/>
    <tableColumn id="3" xr3:uid="{E9EFC715-A4FD-47F9-8347-0EE9D377942F}" name="To​ " dataDxfId="6"/>
    <tableColumn id="4" xr3:uid="{90D69176-EBB7-4FEF-BEA0-2A9EF668FCCA}" name="Tm​ " dataDxfId="5"/>
    <tableColumn id="5" xr3:uid="{99C239C3-A0C1-4D07-8218-9F7F30BB73E5}" name="Tp​ " dataDxfId="4"/>
    <tableColumn id="6" xr3:uid="{C4903170-C0DA-4A4D-AAB6-54A3900D63FF}" name="Tiempo Estimado (Te​) " dataDxfId="3"/>
    <tableColumn id="7" xr3:uid="{7D7A09D5-589B-4E8A-A90B-86456F3C67B5}" name="Predecesora " dataDxfId="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6B400-0DE3-4E0F-AFCD-B49D9D0CC3E4}">
  <dimension ref="A1:A39"/>
  <sheetViews>
    <sheetView workbookViewId="0">
      <selection activeCell="B8" sqref="B8"/>
    </sheetView>
  </sheetViews>
  <sheetFormatPr baseColWidth="10" defaultRowHeight="14.25"/>
  <sheetData>
    <row r="1" spans="1:1">
      <c r="A1" s="1" t="s">
        <v>0</v>
      </c>
    </row>
    <row r="2" spans="1:1">
      <c r="A2" s="2"/>
    </row>
    <row r="3" spans="1:1">
      <c r="A3" s="2"/>
    </row>
    <row r="4" spans="1:1">
      <c r="A4" s="2"/>
    </row>
    <row r="5" spans="1:1">
      <c r="A5" s="2"/>
    </row>
    <row r="6" spans="1:1" ht="27.75">
      <c r="A6" s="3" t="s">
        <v>1</v>
      </c>
    </row>
    <row r="7" spans="1:1" ht="22.5">
      <c r="A7" s="4" t="s">
        <v>2</v>
      </c>
    </row>
    <row r="8" spans="1:1" ht="22.5">
      <c r="A8" s="3" t="s">
        <v>3</v>
      </c>
    </row>
    <row r="9" spans="1:1" ht="22.15">
      <c r="A9" s="5" t="s">
        <v>4</v>
      </c>
    </row>
    <row r="10" spans="1:1">
      <c r="A10" s="6"/>
    </row>
    <row r="11" spans="1:1">
      <c r="A11" s="6"/>
    </row>
    <row r="12" spans="1:1">
      <c r="A12" s="6"/>
    </row>
    <row r="13" spans="1:1">
      <c r="A13" s="6"/>
    </row>
    <row r="14" spans="1:1">
      <c r="A14" s="6"/>
    </row>
    <row r="15" spans="1:1">
      <c r="A15" s="6"/>
    </row>
    <row r="16" spans="1:1">
      <c r="A16" s="6"/>
    </row>
    <row r="17" spans="1:1">
      <c r="A17" s="6"/>
    </row>
    <row r="18" spans="1:1">
      <c r="A18" s="6"/>
    </row>
    <row r="19" spans="1:1">
      <c r="A19" s="6"/>
    </row>
    <row r="20" spans="1:1">
      <c r="A20" s="6"/>
    </row>
    <row r="21" spans="1:1">
      <c r="A21" s="6"/>
    </row>
    <row r="22" spans="1:1">
      <c r="A22" s="6"/>
    </row>
    <row r="23" spans="1:1">
      <c r="A23" s="6"/>
    </row>
    <row r="24" spans="1:1">
      <c r="A24" s="6"/>
    </row>
    <row r="25" spans="1:1">
      <c r="A25" s="6"/>
    </row>
    <row r="26" spans="1:1">
      <c r="A26" s="6"/>
    </row>
    <row r="27" spans="1:1">
      <c r="A27" s="7"/>
    </row>
    <row r="28" spans="1:1" ht="15">
      <c r="A28" s="8"/>
    </row>
    <row r="29" spans="1:1" ht="15">
      <c r="A29" s="8"/>
    </row>
    <row r="30" spans="1:1" ht="15">
      <c r="A30" s="8"/>
    </row>
    <row r="31" spans="1:1" ht="15">
      <c r="A31" s="8"/>
    </row>
    <row r="32" spans="1:1" ht="15">
      <c r="A32" s="8" t="s">
        <v>5</v>
      </c>
    </row>
    <row r="33" spans="1:1" ht="20.65">
      <c r="A33" s="9"/>
    </row>
    <row r="34" spans="1:1" ht="15">
      <c r="A34" s="10" t="s">
        <v>6</v>
      </c>
    </row>
    <row r="35" spans="1:1" ht="20.65">
      <c r="A35" s="9"/>
    </row>
    <row r="36" spans="1:1" ht="15">
      <c r="A36" s="11" t="s">
        <v>7</v>
      </c>
    </row>
    <row r="37" spans="1:1" ht="15">
      <c r="A37" s="11"/>
    </row>
    <row r="38" spans="1:1" ht="15">
      <c r="A38" s="11"/>
    </row>
    <row r="39" spans="1:1" ht="15.75">
      <c r="A39" s="1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27FD-8CF2-4247-A533-9442EC57D2BB}">
  <dimension ref="A1:G22"/>
  <sheetViews>
    <sheetView tabSelected="1" zoomScaleNormal="100" workbookViewId="0">
      <selection activeCell="D11" sqref="D11"/>
    </sheetView>
  </sheetViews>
  <sheetFormatPr baseColWidth="10" defaultRowHeight="14.25"/>
  <cols>
    <col min="1" max="1" width="12.265625" customWidth="1"/>
    <col min="2" max="2" width="31.46484375" customWidth="1"/>
    <col min="3" max="3" width="9.73046875" customWidth="1"/>
    <col min="4" max="4" width="13.59765625" customWidth="1"/>
    <col min="5" max="5" width="17.53125" customWidth="1"/>
    <col min="6" max="6" width="25.59765625" customWidth="1"/>
    <col min="7" max="7" width="23.06640625" customWidth="1"/>
  </cols>
  <sheetData>
    <row r="1" spans="1:7" ht="45">
      <c r="A1" s="13" t="s">
        <v>32</v>
      </c>
      <c r="B1" s="14" t="s">
        <v>26</v>
      </c>
      <c r="C1" s="14" t="s">
        <v>27</v>
      </c>
      <c r="D1" s="14" t="s">
        <v>28</v>
      </c>
      <c r="E1" s="14" t="s">
        <v>29</v>
      </c>
      <c r="F1" s="14" t="s">
        <v>30</v>
      </c>
      <c r="G1" s="14" t="s">
        <v>31</v>
      </c>
    </row>
    <row r="2" spans="1:7" ht="15">
      <c r="A2" s="13" t="s">
        <v>8</v>
      </c>
      <c r="B2" s="15" t="s">
        <v>14</v>
      </c>
      <c r="C2" s="15">
        <v>5</v>
      </c>
      <c r="D2" s="15">
        <v>7</v>
      </c>
      <c r="E2" s="15">
        <v>13</v>
      </c>
      <c r="F2" s="14">
        <v>7.5</v>
      </c>
      <c r="G2" s="15" t="s">
        <v>15</v>
      </c>
    </row>
    <row r="3" spans="1:7" ht="15">
      <c r="A3" s="13" t="s">
        <v>9</v>
      </c>
      <c r="B3" s="15" t="s">
        <v>16</v>
      </c>
      <c r="C3" s="15">
        <v>3</v>
      </c>
      <c r="D3" s="15">
        <v>4</v>
      </c>
      <c r="E3" s="15">
        <v>8</v>
      </c>
      <c r="F3" s="14">
        <v>4.5</v>
      </c>
      <c r="G3" s="15" t="s">
        <v>15</v>
      </c>
    </row>
    <row r="4" spans="1:7" ht="15">
      <c r="A4" s="13" t="s">
        <v>10</v>
      </c>
      <c r="B4" s="15" t="s">
        <v>17</v>
      </c>
      <c r="C4" s="15">
        <v>2</v>
      </c>
      <c r="D4" s="15">
        <v>4</v>
      </c>
      <c r="E4" s="15">
        <v>6</v>
      </c>
      <c r="F4" s="14">
        <v>4</v>
      </c>
      <c r="G4" s="15" t="s">
        <v>9</v>
      </c>
    </row>
    <row r="5" spans="1:7" ht="15">
      <c r="A5" s="13" t="s">
        <v>11</v>
      </c>
      <c r="B5" s="15" t="s">
        <v>18</v>
      </c>
      <c r="C5" s="15">
        <v>6</v>
      </c>
      <c r="D5" s="15">
        <v>9.5</v>
      </c>
      <c r="E5" s="15">
        <v>16</v>
      </c>
      <c r="F5" s="14">
        <v>10</v>
      </c>
      <c r="G5" s="15" t="s">
        <v>19</v>
      </c>
    </row>
    <row r="6" spans="1:7" ht="15">
      <c r="A6" s="13" t="s">
        <v>12</v>
      </c>
      <c r="B6" s="15" t="s">
        <v>20</v>
      </c>
      <c r="C6" s="15">
        <v>2</v>
      </c>
      <c r="D6" s="15">
        <v>3.5</v>
      </c>
      <c r="E6" s="15">
        <v>5</v>
      </c>
      <c r="F6" s="14">
        <v>3.5</v>
      </c>
      <c r="G6" s="15" t="s">
        <v>21</v>
      </c>
    </row>
    <row r="7" spans="1:7" ht="15">
      <c r="A7" s="13" t="s">
        <v>13</v>
      </c>
      <c r="B7" s="15" t="s">
        <v>22</v>
      </c>
      <c r="C7" s="15">
        <v>5</v>
      </c>
      <c r="D7" s="15">
        <v>11</v>
      </c>
      <c r="E7" s="15">
        <v>17</v>
      </c>
      <c r="F7" s="14">
        <v>11</v>
      </c>
      <c r="G7" s="15" t="s">
        <v>9</v>
      </c>
    </row>
    <row r="8" spans="1:7" ht="30">
      <c r="A8" s="13" t="s">
        <v>23</v>
      </c>
      <c r="B8" s="15" t="s">
        <v>24</v>
      </c>
      <c r="C8" s="15">
        <v>3</v>
      </c>
      <c r="D8" s="15">
        <v>4.5</v>
      </c>
      <c r="E8" s="15">
        <v>6</v>
      </c>
      <c r="F8" s="14">
        <v>4.5</v>
      </c>
      <c r="G8" s="15" t="s">
        <v>25</v>
      </c>
    </row>
    <row r="10" spans="1:7" ht="15.75" thickBot="1">
      <c r="B10" s="16" t="s">
        <v>40</v>
      </c>
    </row>
    <row r="11" spans="1:7" ht="15.75" thickBot="1">
      <c r="A11" s="24" t="s">
        <v>33</v>
      </c>
      <c r="B11" s="25" t="s">
        <v>37</v>
      </c>
      <c r="C11" s="26">
        <f>F2+F5+F8</f>
        <v>22</v>
      </c>
      <c r="E11" s="16" t="s">
        <v>48</v>
      </c>
    </row>
    <row r="12" spans="1:7" ht="15.75" thickBot="1">
      <c r="A12" s="23" t="s">
        <v>34</v>
      </c>
      <c r="B12" s="20" t="s">
        <v>41</v>
      </c>
      <c r="C12" s="21">
        <f>F3+F4+F6+F8</f>
        <v>16.5</v>
      </c>
      <c r="E12" s="16" t="s">
        <v>49</v>
      </c>
      <c r="G12" s="17" t="s">
        <v>50</v>
      </c>
    </row>
    <row r="13" spans="1:7" ht="15.75" thickBot="1">
      <c r="A13" s="22" t="s">
        <v>35</v>
      </c>
      <c r="B13" s="20" t="s">
        <v>38</v>
      </c>
      <c r="C13" s="21">
        <f>F3+F7+F8</f>
        <v>20</v>
      </c>
      <c r="E13" s="16">
        <f xml:space="preserve"> (8 - 22)/ B22</f>
        <v>-6.3864017386655263</v>
      </c>
      <c r="G13" s="17" t="s">
        <v>51</v>
      </c>
    </row>
    <row r="14" spans="1:7" ht="15.75" thickBot="1">
      <c r="A14" s="18" t="s">
        <v>36</v>
      </c>
      <c r="B14" s="20" t="s">
        <v>39</v>
      </c>
      <c r="C14" s="19">
        <f>F2+F6+F8</f>
        <v>15.5</v>
      </c>
      <c r="G14" s="17" t="s">
        <v>54</v>
      </c>
    </row>
    <row r="16" spans="1:7" ht="15.4">
      <c r="B16" s="16" t="s">
        <v>42</v>
      </c>
    </row>
    <row r="17" spans="1:3" ht="15.75" thickBot="1">
      <c r="B17" s="17" t="s">
        <v>47</v>
      </c>
    </row>
    <row r="18" spans="1:3" ht="15.75" thickBot="1">
      <c r="A18" s="27" t="s">
        <v>43</v>
      </c>
      <c r="B18" s="30">
        <f>((E2-C2)/6 )^2</f>
        <v>1.7777777777777777</v>
      </c>
      <c r="C18" s="21" t="s">
        <v>53</v>
      </c>
    </row>
    <row r="19" spans="1:3" ht="15.75" thickBot="1">
      <c r="A19" s="28" t="s">
        <v>44</v>
      </c>
      <c r="B19" s="23">
        <f>((E5-C5)/6)^2</f>
        <v>2.7777777777777781</v>
      </c>
      <c r="C19" s="21" t="s">
        <v>53</v>
      </c>
    </row>
    <row r="20" spans="1:3" ht="15.75" thickBot="1">
      <c r="A20" s="28" t="s">
        <v>45</v>
      </c>
      <c r="B20" s="23">
        <f>((E8-C8)/6)^2</f>
        <v>0.25</v>
      </c>
      <c r="C20" s="21" t="s">
        <v>53</v>
      </c>
    </row>
    <row r="21" spans="1:3" ht="15.75" thickBot="1">
      <c r="A21" s="29" t="s">
        <v>46</v>
      </c>
      <c r="B21" s="31">
        <f>B18+B19+B20</f>
        <v>4.8055555555555554</v>
      </c>
      <c r="C21" s="21" t="s">
        <v>53</v>
      </c>
    </row>
    <row r="22" spans="1:3" ht="15.75" thickBot="1">
      <c r="A22" s="32" t="s">
        <v>52</v>
      </c>
      <c r="B22" s="22">
        <f>SQRT(B21)</f>
        <v>2.1921577396609844</v>
      </c>
      <c r="C22" s="21" t="s">
        <v>53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LAZARO MENDEZ</dc:creator>
  <cp:lastModifiedBy>MONICA LAZARO MENDEZ</cp:lastModifiedBy>
  <dcterms:created xsi:type="dcterms:W3CDTF">2026-06-09T01:06:23Z</dcterms:created>
  <dcterms:modified xsi:type="dcterms:W3CDTF">2026-06-12T23:35:23Z</dcterms:modified>
</cp:coreProperties>
</file>